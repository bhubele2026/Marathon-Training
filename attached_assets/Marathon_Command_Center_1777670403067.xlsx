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hubele/Desktop/"/>
    </mc:Choice>
  </mc:AlternateContent>
  <xr:revisionPtr revIDLastSave="0" documentId="13_ncr:1_{13EE184A-1446-A34E-B113-B902B152FC5E}" xr6:coauthVersionLast="47" xr6:coauthVersionMax="47" xr10:uidLastSave="{00000000-0000-0000-0000-000000000000}"/>
  <bookViews>
    <workbookView xWindow="0" yWindow="660" windowWidth="34560" windowHeight="20020" activeTab="3" xr2:uid="{00000000-000D-0000-FFFF-FFFF00000000}"/>
  </bookViews>
  <sheets>
    <sheet name="Dashboard" sheetId="1" r:id="rId1"/>
    <sheet name="Controls" sheetId="2" r:id="rId2"/>
    <sheet name="Milestones" sheetId="3" r:id="rId3"/>
    <sheet name="Daily Plan" sheetId="4" r:id="rId4"/>
    <sheet name="Weekly Summary" sheetId="5" r:id="rId5"/>
    <sheet name="Body Tracker" sheetId="6" r:id="rId6"/>
  </sheets>
  <definedNames>
    <definedName name="_xlnm._FilterDatabase" localSheetId="5" hidden="1">'Body Tracker'!$A$5:$O$57</definedName>
    <definedName name="_xlnm._FilterDatabase" localSheetId="3" hidden="1">'Daily Plan'!$A$1:$U$365</definedName>
    <definedName name="_xlnm._FilterDatabase" localSheetId="4" hidden="1">'Weekly Summary'!$A$1:$Q$53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4" l="1"/>
  <c r="J26" i="4"/>
  <c r="J23" i="4"/>
  <c r="D6" i="3"/>
  <c r="D7" i="3" s="1"/>
  <c r="D21" i="1" s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" i="4"/>
  <c r="J2" i="4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N57" i="6"/>
  <c r="M57" i="6"/>
  <c r="L57" i="6"/>
  <c r="K57" i="6"/>
  <c r="J57" i="6"/>
  <c r="N56" i="6"/>
  <c r="M56" i="6"/>
  <c r="L56" i="6"/>
  <c r="K56" i="6"/>
  <c r="J56" i="6"/>
  <c r="N55" i="6"/>
  <c r="M55" i="6"/>
  <c r="L55" i="6"/>
  <c r="K55" i="6"/>
  <c r="J55" i="6"/>
  <c r="N54" i="6"/>
  <c r="M54" i="6"/>
  <c r="L54" i="6"/>
  <c r="K54" i="6"/>
  <c r="J54" i="6"/>
  <c r="N53" i="6"/>
  <c r="M53" i="6"/>
  <c r="L53" i="6"/>
  <c r="K53" i="6"/>
  <c r="J53" i="6"/>
  <c r="N52" i="6"/>
  <c r="M52" i="6"/>
  <c r="L52" i="6"/>
  <c r="K52" i="6"/>
  <c r="J52" i="6"/>
  <c r="N51" i="6"/>
  <c r="M51" i="6"/>
  <c r="L51" i="6"/>
  <c r="K51" i="6"/>
  <c r="J51" i="6"/>
  <c r="N50" i="6"/>
  <c r="M50" i="6"/>
  <c r="L50" i="6"/>
  <c r="K50" i="6"/>
  <c r="J50" i="6"/>
  <c r="N49" i="6"/>
  <c r="M49" i="6"/>
  <c r="L49" i="6"/>
  <c r="K49" i="6"/>
  <c r="J49" i="6"/>
  <c r="N48" i="6"/>
  <c r="M48" i="6"/>
  <c r="L48" i="6"/>
  <c r="K48" i="6"/>
  <c r="J48" i="6"/>
  <c r="N47" i="6"/>
  <c r="M47" i="6"/>
  <c r="L47" i="6"/>
  <c r="K47" i="6"/>
  <c r="J47" i="6"/>
  <c r="N46" i="6"/>
  <c r="M46" i="6"/>
  <c r="L46" i="6"/>
  <c r="K46" i="6"/>
  <c r="J46" i="6"/>
  <c r="N45" i="6"/>
  <c r="M45" i="6"/>
  <c r="L45" i="6"/>
  <c r="K45" i="6"/>
  <c r="J45" i="6"/>
  <c r="N44" i="6"/>
  <c r="M44" i="6"/>
  <c r="L44" i="6"/>
  <c r="K44" i="6"/>
  <c r="J44" i="6"/>
  <c r="N43" i="6"/>
  <c r="M43" i="6"/>
  <c r="L43" i="6"/>
  <c r="K43" i="6"/>
  <c r="J43" i="6"/>
  <c r="N42" i="6"/>
  <c r="M42" i="6"/>
  <c r="L42" i="6"/>
  <c r="K42" i="6"/>
  <c r="J42" i="6"/>
  <c r="N41" i="6"/>
  <c r="M41" i="6"/>
  <c r="L41" i="6"/>
  <c r="K41" i="6"/>
  <c r="J41" i="6"/>
  <c r="N40" i="6"/>
  <c r="M40" i="6"/>
  <c r="L40" i="6"/>
  <c r="K40" i="6"/>
  <c r="J40" i="6"/>
  <c r="N39" i="6"/>
  <c r="M39" i="6"/>
  <c r="L39" i="6"/>
  <c r="K39" i="6"/>
  <c r="J39" i="6"/>
  <c r="N38" i="6"/>
  <c r="M38" i="6"/>
  <c r="L38" i="6"/>
  <c r="K38" i="6"/>
  <c r="J38" i="6"/>
  <c r="N37" i="6"/>
  <c r="M37" i="6"/>
  <c r="L37" i="6"/>
  <c r="K37" i="6"/>
  <c r="J37" i="6"/>
  <c r="N36" i="6"/>
  <c r="M36" i="6"/>
  <c r="L36" i="6"/>
  <c r="K36" i="6"/>
  <c r="J36" i="6"/>
  <c r="N35" i="6"/>
  <c r="M35" i="6"/>
  <c r="L35" i="6"/>
  <c r="K35" i="6"/>
  <c r="J35" i="6"/>
  <c r="N34" i="6"/>
  <c r="M34" i="6"/>
  <c r="L34" i="6"/>
  <c r="K34" i="6"/>
  <c r="J34" i="6"/>
  <c r="N33" i="6"/>
  <c r="M33" i="6"/>
  <c r="L33" i="6"/>
  <c r="K33" i="6"/>
  <c r="J33" i="6"/>
  <c r="N32" i="6"/>
  <c r="M32" i="6"/>
  <c r="L32" i="6"/>
  <c r="K32" i="6"/>
  <c r="J32" i="6"/>
  <c r="N31" i="6"/>
  <c r="M31" i="6"/>
  <c r="L31" i="6"/>
  <c r="K31" i="6"/>
  <c r="J31" i="6"/>
  <c r="N30" i="6"/>
  <c r="M30" i="6"/>
  <c r="L30" i="6"/>
  <c r="K30" i="6"/>
  <c r="J30" i="6"/>
  <c r="N29" i="6"/>
  <c r="M29" i="6"/>
  <c r="L29" i="6"/>
  <c r="K29" i="6"/>
  <c r="J29" i="6"/>
  <c r="N28" i="6"/>
  <c r="M28" i="6"/>
  <c r="L28" i="6"/>
  <c r="K28" i="6"/>
  <c r="J28" i="6"/>
  <c r="N27" i="6"/>
  <c r="M27" i="6"/>
  <c r="L27" i="6"/>
  <c r="K27" i="6"/>
  <c r="J27" i="6"/>
  <c r="N26" i="6"/>
  <c r="M26" i="6"/>
  <c r="L26" i="6"/>
  <c r="K26" i="6"/>
  <c r="J26" i="6"/>
  <c r="N25" i="6"/>
  <c r="M25" i="6"/>
  <c r="L25" i="6"/>
  <c r="K25" i="6"/>
  <c r="J25" i="6"/>
  <c r="N24" i="6"/>
  <c r="M24" i="6"/>
  <c r="L24" i="6"/>
  <c r="K24" i="6"/>
  <c r="J24" i="6"/>
  <c r="N23" i="6"/>
  <c r="M23" i="6"/>
  <c r="L23" i="6"/>
  <c r="K23" i="6"/>
  <c r="J23" i="6"/>
  <c r="N22" i="6"/>
  <c r="M22" i="6"/>
  <c r="L22" i="6"/>
  <c r="K22" i="6"/>
  <c r="J22" i="6"/>
  <c r="N21" i="6"/>
  <c r="M21" i="6"/>
  <c r="L21" i="6"/>
  <c r="K21" i="6"/>
  <c r="J21" i="6"/>
  <c r="N20" i="6"/>
  <c r="M20" i="6"/>
  <c r="L20" i="6"/>
  <c r="K20" i="6"/>
  <c r="J20" i="6"/>
  <c r="N19" i="6"/>
  <c r="M19" i="6"/>
  <c r="L19" i="6"/>
  <c r="K19" i="6"/>
  <c r="J19" i="6"/>
  <c r="N18" i="6"/>
  <c r="M18" i="6"/>
  <c r="L18" i="6"/>
  <c r="K18" i="6"/>
  <c r="J18" i="6"/>
  <c r="N17" i="6"/>
  <c r="M17" i="6"/>
  <c r="L17" i="6"/>
  <c r="K17" i="6"/>
  <c r="J17" i="6"/>
  <c r="N16" i="6"/>
  <c r="M16" i="6"/>
  <c r="L16" i="6"/>
  <c r="K16" i="6"/>
  <c r="J16" i="6"/>
  <c r="N15" i="6"/>
  <c r="M15" i="6"/>
  <c r="L15" i="6"/>
  <c r="K15" i="6"/>
  <c r="J15" i="6"/>
  <c r="N14" i="6"/>
  <c r="M14" i="6"/>
  <c r="L14" i="6"/>
  <c r="K14" i="6"/>
  <c r="J14" i="6"/>
  <c r="N13" i="6"/>
  <c r="M13" i="6"/>
  <c r="L13" i="6"/>
  <c r="K13" i="6"/>
  <c r="J13" i="6"/>
  <c r="N12" i="6"/>
  <c r="M12" i="6"/>
  <c r="L12" i="6"/>
  <c r="K12" i="6"/>
  <c r="J12" i="6"/>
  <c r="N11" i="6"/>
  <c r="M11" i="6"/>
  <c r="L11" i="6"/>
  <c r="K11" i="6"/>
  <c r="J11" i="6"/>
  <c r="N10" i="6"/>
  <c r="M10" i="6"/>
  <c r="L10" i="6"/>
  <c r="K10" i="6"/>
  <c r="J10" i="6"/>
  <c r="N9" i="6"/>
  <c r="M9" i="6"/>
  <c r="L9" i="6"/>
  <c r="K9" i="6"/>
  <c r="J9" i="6"/>
  <c r="N8" i="6"/>
  <c r="M8" i="6"/>
  <c r="L8" i="6"/>
  <c r="K8" i="6"/>
  <c r="J8" i="6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N7" i="6"/>
  <c r="M7" i="6"/>
  <c r="L7" i="6"/>
  <c r="K7" i="6"/>
  <c r="J7" i="6"/>
  <c r="N6" i="6"/>
  <c r="M6" i="6"/>
  <c r="L6" i="6"/>
  <c r="K6" i="6"/>
  <c r="J6" i="6"/>
  <c r="B6" i="6"/>
  <c r="Q53" i="5"/>
  <c r="P53" i="5"/>
  <c r="O53" i="5"/>
  <c r="N53" i="5"/>
  <c r="L53" i="5"/>
  <c r="J53" i="5"/>
  <c r="I53" i="5"/>
  <c r="H53" i="5"/>
  <c r="F53" i="5"/>
  <c r="E53" i="5"/>
  <c r="Q52" i="5"/>
  <c r="P52" i="5"/>
  <c r="O52" i="5"/>
  <c r="N52" i="5"/>
  <c r="L52" i="5"/>
  <c r="J52" i="5"/>
  <c r="I52" i="5"/>
  <c r="H52" i="5"/>
  <c r="F52" i="5"/>
  <c r="E52" i="5"/>
  <c r="Q51" i="5"/>
  <c r="P51" i="5"/>
  <c r="O51" i="5"/>
  <c r="N51" i="5"/>
  <c r="L51" i="5"/>
  <c r="J51" i="5"/>
  <c r="I51" i="5"/>
  <c r="H51" i="5"/>
  <c r="F51" i="5"/>
  <c r="E51" i="5"/>
  <c r="Q50" i="5"/>
  <c r="P50" i="5"/>
  <c r="O50" i="5"/>
  <c r="N50" i="5"/>
  <c r="L50" i="5"/>
  <c r="J50" i="5"/>
  <c r="I50" i="5"/>
  <c r="H50" i="5"/>
  <c r="F50" i="5"/>
  <c r="E50" i="5"/>
  <c r="Q49" i="5"/>
  <c r="P49" i="5"/>
  <c r="O49" i="5"/>
  <c r="N49" i="5"/>
  <c r="L49" i="5"/>
  <c r="J49" i="5"/>
  <c r="I49" i="5"/>
  <c r="H49" i="5"/>
  <c r="F49" i="5"/>
  <c r="E49" i="5"/>
  <c r="Q48" i="5"/>
  <c r="P48" i="5"/>
  <c r="O48" i="5"/>
  <c r="N48" i="5"/>
  <c r="L48" i="5"/>
  <c r="J48" i="5"/>
  <c r="I48" i="5"/>
  <c r="H48" i="5"/>
  <c r="F48" i="5"/>
  <c r="E48" i="5"/>
  <c r="Q47" i="5"/>
  <c r="P47" i="5"/>
  <c r="O47" i="5"/>
  <c r="N47" i="5"/>
  <c r="L47" i="5"/>
  <c r="J47" i="5"/>
  <c r="I47" i="5"/>
  <c r="H47" i="5"/>
  <c r="F47" i="5"/>
  <c r="E47" i="5"/>
  <c r="Q46" i="5"/>
  <c r="P46" i="5"/>
  <c r="O46" i="5"/>
  <c r="N46" i="5"/>
  <c r="L46" i="5"/>
  <c r="J46" i="5"/>
  <c r="I46" i="5"/>
  <c r="H46" i="5"/>
  <c r="F46" i="5"/>
  <c r="E46" i="5"/>
  <c r="Q45" i="5"/>
  <c r="P45" i="5"/>
  <c r="O45" i="5"/>
  <c r="N45" i="5"/>
  <c r="L45" i="5"/>
  <c r="J45" i="5"/>
  <c r="I45" i="5"/>
  <c r="H45" i="5"/>
  <c r="F45" i="5"/>
  <c r="E45" i="5"/>
  <c r="Q44" i="5"/>
  <c r="P44" i="5"/>
  <c r="O44" i="5"/>
  <c r="N44" i="5"/>
  <c r="L44" i="5"/>
  <c r="J44" i="5"/>
  <c r="I44" i="5"/>
  <c r="H44" i="5"/>
  <c r="F44" i="5"/>
  <c r="E44" i="5"/>
  <c r="Q43" i="5"/>
  <c r="P43" i="5"/>
  <c r="O43" i="5"/>
  <c r="N43" i="5"/>
  <c r="L43" i="5"/>
  <c r="J43" i="5"/>
  <c r="I43" i="5"/>
  <c r="H43" i="5"/>
  <c r="F43" i="5"/>
  <c r="E43" i="5"/>
  <c r="Q42" i="5"/>
  <c r="P42" i="5"/>
  <c r="O42" i="5"/>
  <c r="N42" i="5"/>
  <c r="L42" i="5"/>
  <c r="J42" i="5"/>
  <c r="I42" i="5"/>
  <c r="H42" i="5"/>
  <c r="F42" i="5"/>
  <c r="E42" i="5"/>
  <c r="Q41" i="5"/>
  <c r="P41" i="5"/>
  <c r="O41" i="5"/>
  <c r="N41" i="5"/>
  <c r="L41" i="5"/>
  <c r="J41" i="5"/>
  <c r="I41" i="5"/>
  <c r="H41" i="5"/>
  <c r="F41" i="5"/>
  <c r="E41" i="5"/>
  <c r="Q40" i="5"/>
  <c r="P40" i="5"/>
  <c r="O40" i="5"/>
  <c r="N40" i="5"/>
  <c r="L40" i="5"/>
  <c r="J40" i="5"/>
  <c r="I40" i="5"/>
  <c r="H40" i="5"/>
  <c r="F40" i="5"/>
  <c r="E40" i="5"/>
  <c r="Q39" i="5"/>
  <c r="P39" i="5"/>
  <c r="O39" i="5"/>
  <c r="N39" i="5"/>
  <c r="L39" i="5"/>
  <c r="J39" i="5"/>
  <c r="I39" i="5"/>
  <c r="H39" i="5"/>
  <c r="F39" i="5"/>
  <c r="E39" i="5"/>
  <c r="Q38" i="5"/>
  <c r="P38" i="5"/>
  <c r="O38" i="5"/>
  <c r="N38" i="5"/>
  <c r="L38" i="5"/>
  <c r="J38" i="5"/>
  <c r="I38" i="5"/>
  <c r="H38" i="5"/>
  <c r="F38" i="5"/>
  <c r="E38" i="5"/>
  <c r="Q37" i="5"/>
  <c r="P37" i="5"/>
  <c r="O37" i="5"/>
  <c r="N37" i="5"/>
  <c r="L37" i="5"/>
  <c r="J37" i="5"/>
  <c r="I37" i="5"/>
  <c r="H37" i="5"/>
  <c r="F37" i="5"/>
  <c r="E37" i="5"/>
  <c r="Q36" i="5"/>
  <c r="P36" i="5"/>
  <c r="O36" i="5"/>
  <c r="N36" i="5"/>
  <c r="L36" i="5"/>
  <c r="J36" i="5"/>
  <c r="I36" i="5"/>
  <c r="H36" i="5"/>
  <c r="F36" i="5"/>
  <c r="E36" i="5"/>
  <c r="Q35" i="5"/>
  <c r="P35" i="5"/>
  <c r="O35" i="5"/>
  <c r="N35" i="5"/>
  <c r="L35" i="5"/>
  <c r="J35" i="5"/>
  <c r="I35" i="5"/>
  <c r="H35" i="5"/>
  <c r="F35" i="5"/>
  <c r="E35" i="5"/>
  <c r="Q34" i="5"/>
  <c r="P34" i="5"/>
  <c r="O34" i="5"/>
  <c r="N34" i="5"/>
  <c r="L34" i="5"/>
  <c r="J34" i="5"/>
  <c r="I34" i="5"/>
  <c r="H34" i="5"/>
  <c r="F34" i="5"/>
  <c r="E34" i="5"/>
  <c r="Q33" i="5"/>
  <c r="P33" i="5"/>
  <c r="O33" i="5"/>
  <c r="N33" i="5"/>
  <c r="L33" i="5"/>
  <c r="J33" i="5"/>
  <c r="I33" i="5"/>
  <c r="H33" i="5"/>
  <c r="F33" i="5"/>
  <c r="E33" i="5"/>
  <c r="Q32" i="5"/>
  <c r="P32" i="5"/>
  <c r="O32" i="5"/>
  <c r="N32" i="5"/>
  <c r="L32" i="5"/>
  <c r="J32" i="5"/>
  <c r="I32" i="5"/>
  <c r="H32" i="5"/>
  <c r="F32" i="5"/>
  <c r="E32" i="5"/>
  <c r="Q31" i="5"/>
  <c r="P31" i="5"/>
  <c r="O31" i="5"/>
  <c r="N31" i="5"/>
  <c r="L31" i="5"/>
  <c r="J31" i="5"/>
  <c r="I31" i="5"/>
  <c r="H31" i="5"/>
  <c r="F31" i="5"/>
  <c r="E31" i="5"/>
  <c r="Q30" i="5"/>
  <c r="P30" i="5"/>
  <c r="O30" i="5"/>
  <c r="N30" i="5"/>
  <c r="L30" i="5"/>
  <c r="J30" i="5"/>
  <c r="I30" i="5"/>
  <c r="H30" i="5"/>
  <c r="F30" i="5"/>
  <c r="E30" i="5"/>
  <c r="Q29" i="5"/>
  <c r="P29" i="5"/>
  <c r="O29" i="5"/>
  <c r="N29" i="5"/>
  <c r="L29" i="5"/>
  <c r="J29" i="5"/>
  <c r="I29" i="5"/>
  <c r="H29" i="5"/>
  <c r="F29" i="5"/>
  <c r="E29" i="5"/>
  <c r="Q28" i="5"/>
  <c r="P28" i="5"/>
  <c r="O28" i="5"/>
  <c r="N28" i="5"/>
  <c r="L28" i="5"/>
  <c r="J28" i="5"/>
  <c r="I28" i="5"/>
  <c r="H28" i="5"/>
  <c r="F28" i="5"/>
  <c r="E28" i="5"/>
  <c r="Q27" i="5"/>
  <c r="P27" i="5"/>
  <c r="O27" i="5"/>
  <c r="N27" i="5"/>
  <c r="L27" i="5"/>
  <c r="J27" i="5"/>
  <c r="I27" i="5"/>
  <c r="H27" i="5"/>
  <c r="F27" i="5"/>
  <c r="E27" i="5"/>
  <c r="Q26" i="5"/>
  <c r="P26" i="5"/>
  <c r="O26" i="5"/>
  <c r="N26" i="5"/>
  <c r="L26" i="5"/>
  <c r="J26" i="5"/>
  <c r="I26" i="5"/>
  <c r="H26" i="5"/>
  <c r="F26" i="5"/>
  <c r="E26" i="5"/>
  <c r="Q25" i="5"/>
  <c r="P25" i="5"/>
  <c r="O25" i="5"/>
  <c r="N25" i="5"/>
  <c r="L25" i="5"/>
  <c r="J25" i="5"/>
  <c r="I25" i="5"/>
  <c r="H25" i="5"/>
  <c r="F25" i="5"/>
  <c r="E25" i="5"/>
  <c r="Q24" i="5"/>
  <c r="P24" i="5"/>
  <c r="O24" i="5"/>
  <c r="N24" i="5"/>
  <c r="L24" i="5"/>
  <c r="J24" i="5"/>
  <c r="I24" i="5"/>
  <c r="H24" i="5"/>
  <c r="F24" i="5"/>
  <c r="E24" i="5"/>
  <c r="Q23" i="5"/>
  <c r="P23" i="5"/>
  <c r="O23" i="5"/>
  <c r="N23" i="5"/>
  <c r="L23" i="5"/>
  <c r="J23" i="5"/>
  <c r="I23" i="5"/>
  <c r="H23" i="5"/>
  <c r="F23" i="5"/>
  <c r="E23" i="5"/>
  <c r="Q22" i="5"/>
  <c r="P22" i="5"/>
  <c r="O22" i="5"/>
  <c r="N22" i="5"/>
  <c r="L22" i="5"/>
  <c r="J22" i="5"/>
  <c r="I22" i="5"/>
  <c r="H22" i="5"/>
  <c r="F22" i="5"/>
  <c r="E22" i="5"/>
  <c r="Q21" i="5"/>
  <c r="P21" i="5"/>
  <c r="O21" i="5"/>
  <c r="N21" i="5"/>
  <c r="L21" i="5"/>
  <c r="J21" i="5"/>
  <c r="I21" i="5"/>
  <c r="H21" i="5"/>
  <c r="F21" i="5"/>
  <c r="E21" i="5"/>
  <c r="Q20" i="5"/>
  <c r="P20" i="5"/>
  <c r="O20" i="5"/>
  <c r="N20" i="5"/>
  <c r="L20" i="5"/>
  <c r="J20" i="5"/>
  <c r="I20" i="5"/>
  <c r="H20" i="5"/>
  <c r="F20" i="5"/>
  <c r="E20" i="5"/>
  <c r="Q19" i="5"/>
  <c r="P19" i="5"/>
  <c r="O19" i="5"/>
  <c r="N19" i="5"/>
  <c r="L19" i="5"/>
  <c r="J19" i="5"/>
  <c r="I19" i="5"/>
  <c r="H19" i="5"/>
  <c r="F19" i="5"/>
  <c r="E19" i="5"/>
  <c r="Q18" i="5"/>
  <c r="P18" i="5"/>
  <c r="O18" i="5"/>
  <c r="N18" i="5"/>
  <c r="L18" i="5"/>
  <c r="J18" i="5"/>
  <c r="I18" i="5"/>
  <c r="H18" i="5"/>
  <c r="F18" i="5"/>
  <c r="E18" i="5"/>
  <c r="Q17" i="5"/>
  <c r="P17" i="5"/>
  <c r="O17" i="5"/>
  <c r="N17" i="5"/>
  <c r="L17" i="5"/>
  <c r="J17" i="5"/>
  <c r="I17" i="5"/>
  <c r="H17" i="5"/>
  <c r="F17" i="5"/>
  <c r="E17" i="5"/>
  <c r="Q16" i="5"/>
  <c r="P16" i="5"/>
  <c r="O16" i="5"/>
  <c r="N16" i="5"/>
  <c r="L16" i="5"/>
  <c r="J16" i="5"/>
  <c r="I16" i="5"/>
  <c r="H16" i="5"/>
  <c r="F16" i="5"/>
  <c r="E16" i="5"/>
  <c r="Q15" i="5"/>
  <c r="P15" i="5"/>
  <c r="O15" i="5"/>
  <c r="N15" i="5"/>
  <c r="L15" i="5"/>
  <c r="J15" i="5"/>
  <c r="I15" i="5"/>
  <c r="H15" i="5"/>
  <c r="F15" i="5"/>
  <c r="E15" i="5"/>
  <c r="Q14" i="5"/>
  <c r="P14" i="5"/>
  <c r="O14" i="5"/>
  <c r="N14" i="5"/>
  <c r="L14" i="5"/>
  <c r="J14" i="5"/>
  <c r="I14" i="5"/>
  <c r="H14" i="5"/>
  <c r="F14" i="5"/>
  <c r="E14" i="5"/>
  <c r="Q13" i="5"/>
  <c r="P13" i="5"/>
  <c r="O13" i="5"/>
  <c r="N13" i="5"/>
  <c r="L13" i="5"/>
  <c r="J13" i="5"/>
  <c r="I13" i="5"/>
  <c r="H13" i="5"/>
  <c r="F13" i="5"/>
  <c r="E13" i="5"/>
  <c r="Q12" i="5"/>
  <c r="P12" i="5"/>
  <c r="O12" i="5"/>
  <c r="N12" i="5"/>
  <c r="L12" i="5"/>
  <c r="J12" i="5"/>
  <c r="I12" i="5"/>
  <c r="H12" i="5"/>
  <c r="F12" i="5"/>
  <c r="E12" i="5"/>
  <c r="Q11" i="5"/>
  <c r="P11" i="5"/>
  <c r="O11" i="5"/>
  <c r="N11" i="5"/>
  <c r="L11" i="5"/>
  <c r="J11" i="5"/>
  <c r="I11" i="5"/>
  <c r="H11" i="5"/>
  <c r="F11" i="5"/>
  <c r="E11" i="5"/>
  <c r="Q10" i="5"/>
  <c r="P10" i="5"/>
  <c r="O10" i="5"/>
  <c r="N10" i="5"/>
  <c r="L10" i="5"/>
  <c r="J10" i="5"/>
  <c r="I10" i="5"/>
  <c r="H10" i="5"/>
  <c r="F10" i="5"/>
  <c r="E10" i="5"/>
  <c r="Q9" i="5"/>
  <c r="P9" i="5"/>
  <c r="O9" i="5"/>
  <c r="N9" i="5"/>
  <c r="L9" i="5"/>
  <c r="J9" i="5"/>
  <c r="I9" i="5"/>
  <c r="H9" i="5"/>
  <c r="F9" i="5"/>
  <c r="E9" i="5"/>
  <c r="Q8" i="5"/>
  <c r="P8" i="5"/>
  <c r="O8" i="5"/>
  <c r="N8" i="5"/>
  <c r="L8" i="5"/>
  <c r="J8" i="5"/>
  <c r="I8" i="5"/>
  <c r="H8" i="5"/>
  <c r="F8" i="5"/>
  <c r="E8" i="5"/>
  <c r="Q7" i="5"/>
  <c r="P7" i="5"/>
  <c r="O7" i="5"/>
  <c r="N7" i="5"/>
  <c r="L7" i="5"/>
  <c r="J7" i="5"/>
  <c r="I7" i="5"/>
  <c r="H7" i="5"/>
  <c r="F7" i="5"/>
  <c r="E7" i="5"/>
  <c r="Q6" i="5"/>
  <c r="P6" i="5"/>
  <c r="O6" i="5"/>
  <c r="N6" i="5"/>
  <c r="L6" i="5"/>
  <c r="J6" i="5"/>
  <c r="I6" i="5"/>
  <c r="H6" i="5"/>
  <c r="F6" i="5"/>
  <c r="E6" i="5"/>
  <c r="Q5" i="5"/>
  <c r="P5" i="5"/>
  <c r="O5" i="5"/>
  <c r="N5" i="5"/>
  <c r="L5" i="5"/>
  <c r="J5" i="5"/>
  <c r="I5" i="5"/>
  <c r="H5" i="5"/>
  <c r="F5" i="5"/>
  <c r="E5" i="5"/>
  <c r="Q4" i="5"/>
  <c r="P4" i="5"/>
  <c r="O4" i="5"/>
  <c r="N4" i="5"/>
  <c r="L4" i="5"/>
  <c r="J4" i="5"/>
  <c r="I4" i="5"/>
  <c r="H4" i="5"/>
  <c r="F4" i="5"/>
  <c r="E4" i="5"/>
  <c r="Q3" i="5"/>
  <c r="P3" i="5"/>
  <c r="O3" i="5"/>
  <c r="N3" i="5"/>
  <c r="L3" i="5"/>
  <c r="J3" i="5"/>
  <c r="I3" i="5"/>
  <c r="H3" i="5"/>
  <c r="F3" i="5"/>
  <c r="E3" i="5"/>
  <c r="Q2" i="5"/>
  <c r="P2" i="5"/>
  <c r="O2" i="5"/>
  <c r="N2" i="5"/>
  <c r="J2" i="5"/>
  <c r="I2" i="5"/>
  <c r="H2" i="5"/>
  <c r="F2" i="5"/>
  <c r="E2" i="5"/>
  <c r="C2" i="5"/>
  <c r="D2" i="5" s="1"/>
  <c r="B7" i="2"/>
  <c r="B7" i="1" s="1"/>
  <c r="E25" i="1"/>
  <c r="C25" i="1"/>
  <c r="B25" i="1"/>
  <c r="A25" i="1"/>
  <c r="E24" i="1"/>
  <c r="C24" i="1"/>
  <c r="B24" i="1"/>
  <c r="A24" i="1"/>
  <c r="E23" i="1"/>
  <c r="C23" i="1"/>
  <c r="B23" i="1"/>
  <c r="A23" i="1"/>
  <c r="E22" i="1"/>
  <c r="C22" i="1"/>
  <c r="B22" i="1"/>
  <c r="A22" i="1"/>
  <c r="E21" i="1"/>
  <c r="C21" i="1"/>
  <c r="B21" i="1"/>
  <c r="A21" i="1"/>
  <c r="E20" i="1"/>
  <c r="C20" i="1"/>
  <c r="B20" i="1"/>
  <c r="A20" i="1"/>
  <c r="F9" i="1"/>
  <c r="F6" i="1"/>
  <c r="B6" i="1"/>
  <c r="U365" i="4"/>
  <c r="T365" i="4"/>
  <c r="S365" i="4"/>
  <c r="R365" i="4"/>
  <c r="U364" i="4"/>
  <c r="T364" i="4"/>
  <c r="S364" i="4"/>
  <c r="R364" i="4"/>
  <c r="U363" i="4"/>
  <c r="T363" i="4"/>
  <c r="S363" i="4"/>
  <c r="R363" i="4"/>
  <c r="U362" i="4"/>
  <c r="T362" i="4"/>
  <c r="S362" i="4"/>
  <c r="R362" i="4"/>
  <c r="U361" i="4"/>
  <c r="T361" i="4"/>
  <c r="S361" i="4"/>
  <c r="R361" i="4"/>
  <c r="U360" i="4"/>
  <c r="T360" i="4"/>
  <c r="S360" i="4"/>
  <c r="R360" i="4"/>
  <c r="U359" i="4"/>
  <c r="T359" i="4"/>
  <c r="S359" i="4"/>
  <c r="R359" i="4"/>
  <c r="U358" i="4"/>
  <c r="T358" i="4"/>
  <c r="S358" i="4"/>
  <c r="R358" i="4"/>
  <c r="U357" i="4"/>
  <c r="T357" i="4"/>
  <c r="S357" i="4"/>
  <c r="R357" i="4"/>
  <c r="U356" i="4"/>
  <c r="T356" i="4"/>
  <c r="S356" i="4"/>
  <c r="R356" i="4"/>
  <c r="U355" i="4"/>
  <c r="T355" i="4"/>
  <c r="S355" i="4"/>
  <c r="R355" i="4"/>
  <c r="U354" i="4"/>
  <c r="T354" i="4"/>
  <c r="S354" i="4"/>
  <c r="R354" i="4"/>
  <c r="U353" i="4"/>
  <c r="T353" i="4"/>
  <c r="S353" i="4"/>
  <c r="R353" i="4"/>
  <c r="U352" i="4"/>
  <c r="T352" i="4"/>
  <c r="S352" i="4"/>
  <c r="R352" i="4"/>
  <c r="U351" i="4"/>
  <c r="T351" i="4"/>
  <c r="S351" i="4"/>
  <c r="R351" i="4"/>
  <c r="U350" i="4"/>
  <c r="T350" i="4"/>
  <c r="S350" i="4"/>
  <c r="R350" i="4"/>
  <c r="U349" i="4"/>
  <c r="T349" i="4"/>
  <c r="S349" i="4"/>
  <c r="R349" i="4"/>
  <c r="U348" i="4"/>
  <c r="T348" i="4"/>
  <c r="S348" i="4"/>
  <c r="R348" i="4"/>
  <c r="U347" i="4"/>
  <c r="T347" i="4"/>
  <c r="S347" i="4"/>
  <c r="R347" i="4"/>
  <c r="U346" i="4"/>
  <c r="T346" i="4"/>
  <c r="S346" i="4"/>
  <c r="R346" i="4"/>
  <c r="U345" i="4"/>
  <c r="T345" i="4"/>
  <c r="S345" i="4"/>
  <c r="R345" i="4"/>
  <c r="U344" i="4"/>
  <c r="T344" i="4"/>
  <c r="S344" i="4"/>
  <c r="R344" i="4"/>
  <c r="U343" i="4"/>
  <c r="T343" i="4"/>
  <c r="S343" i="4"/>
  <c r="R343" i="4"/>
  <c r="U342" i="4"/>
  <c r="T342" i="4"/>
  <c r="S342" i="4"/>
  <c r="R342" i="4"/>
  <c r="U341" i="4"/>
  <c r="T341" i="4"/>
  <c r="S341" i="4"/>
  <c r="R341" i="4"/>
  <c r="U340" i="4"/>
  <c r="T340" i="4"/>
  <c r="S340" i="4"/>
  <c r="R340" i="4"/>
  <c r="U339" i="4"/>
  <c r="T339" i="4"/>
  <c r="S339" i="4"/>
  <c r="R339" i="4"/>
  <c r="U338" i="4"/>
  <c r="T338" i="4"/>
  <c r="S338" i="4"/>
  <c r="R338" i="4"/>
  <c r="U337" i="4"/>
  <c r="T337" i="4"/>
  <c r="S337" i="4"/>
  <c r="R337" i="4"/>
  <c r="U336" i="4"/>
  <c r="T336" i="4"/>
  <c r="S336" i="4"/>
  <c r="R336" i="4"/>
  <c r="U335" i="4"/>
  <c r="T335" i="4"/>
  <c r="S335" i="4"/>
  <c r="R335" i="4"/>
  <c r="U334" i="4"/>
  <c r="T334" i="4"/>
  <c r="S334" i="4"/>
  <c r="R334" i="4"/>
  <c r="U333" i="4"/>
  <c r="T333" i="4"/>
  <c r="S333" i="4"/>
  <c r="R333" i="4"/>
  <c r="U332" i="4"/>
  <c r="T332" i="4"/>
  <c r="S332" i="4"/>
  <c r="R332" i="4"/>
  <c r="U331" i="4"/>
  <c r="T331" i="4"/>
  <c r="S331" i="4"/>
  <c r="R331" i="4"/>
  <c r="U330" i="4"/>
  <c r="T330" i="4"/>
  <c r="S330" i="4"/>
  <c r="R330" i="4"/>
  <c r="U329" i="4"/>
  <c r="T329" i="4"/>
  <c r="S329" i="4"/>
  <c r="R329" i="4"/>
  <c r="U328" i="4"/>
  <c r="T328" i="4"/>
  <c r="S328" i="4"/>
  <c r="R328" i="4"/>
  <c r="U327" i="4"/>
  <c r="T327" i="4"/>
  <c r="S327" i="4"/>
  <c r="R327" i="4"/>
  <c r="U326" i="4"/>
  <c r="T326" i="4"/>
  <c r="S326" i="4"/>
  <c r="R326" i="4"/>
  <c r="U325" i="4"/>
  <c r="T325" i="4"/>
  <c r="S325" i="4"/>
  <c r="R325" i="4"/>
  <c r="U324" i="4"/>
  <c r="T324" i="4"/>
  <c r="S324" i="4"/>
  <c r="R324" i="4"/>
  <c r="U323" i="4"/>
  <c r="T323" i="4"/>
  <c r="S323" i="4"/>
  <c r="R323" i="4"/>
  <c r="U322" i="4"/>
  <c r="T322" i="4"/>
  <c r="S322" i="4"/>
  <c r="R322" i="4"/>
  <c r="U321" i="4"/>
  <c r="T321" i="4"/>
  <c r="S321" i="4"/>
  <c r="R321" i="4"/>
  <c r="U320" i="4"/>
  <c r="T320" i="4"/>
  <c r="S320" i="4"/>
  <c r="R320" i="4"/>
  <c r="U319" i="4"/>
  <c r="T319" i="4"/>
  <c r="S319" i="4"/>
  <c r="R319" i="4"/>
  <c r="U318" i="4"/>
  <c r="T318" i="4"/>
  <c r="S318" i="4"/>
  <c r="R318" i="4"/>
  <c r="U317" i="4"/>
  <c r="T317" i="4"/>
  <c r="S317" i="4"/>
  <c r="R317" i="4"/>
  <c r="U316" i="4"/>
  <c r="T316" i="4"/>
  <c r="S316" i="4"/>
  <c r="R316" i="4"/>
  <c r="U315" i="4"/>
  <c r="T315" i="4"/>
  <c r="S315" i="4"/>
  <c r="R315" i="4"/>
  <c r="U314" i="4"/>
  <c r="T314" i="4"/>
  <c r="S314" i="4"/>
  <c r="R314" i="4"/>
  <c r="U313" i="4"/>
  <c r="T313" i="4"/>
  <c r="S313" i="4"/>
  <c r="R313" i="4"/>
  <c r="U312" i="4"/>
  <c r="T312" i="4"/>
  <c r="S312" i="4"/>
  <c r="R312" i="4"/>
  <c r="U311" i="4"/>
  <c r="T311" i="4"/>
  <c r="S311" i="4"/>
  <c r="R311" i="4"/>
  <c r="U310" i="4"/>
  <c r="T310" i="4"/>
  <c r="S310" i="4"/>
  <c r="R310" i="4"/>
  <c r="U309" i="4"/>
  <c r="T309" i="4"/>
  <c r="S309" i="4"/>
  <c r="R309" i="4"/>
  <c r="U308" i="4"/>
  <c r="T308" i="4"/>
  <c r="S308" i="4"/>
  <c r="R308" i="4"/>
  <c r="U307" i="4"/>
  <c r="T307" i="4"/>
  <c r="S307" i="4"/>
  <c r="R307" i="4"/>
  <c r="U306" i="4"/>
  <c r="T306" i="4"/>
  <c r="S306" i="4"/>
  <c r="R306" i="4"/>
  <c r="U305" i="4"/>
  <c r="T305" i="4"/>
  <c r="S305" i="4"/>
  <c r="R305" i="4"/>
  <c r="U304" i="4"/>
  <c r="T304" i="4"/>
  <c r="S304" i="4"/>
  <c r="R304" i="4"/>
  <c r="U303" i="4"/>
  <c r="T303" i="4"/>
  <c r="S303" i="4"/>
  <c r="R303" i="4"/>
  <c r="U302" i="4"/>
  <c r="T302" i="4"/>
  <c r="S302" i="4"/>
  <c r="R302" i="4"/>
  <c r="U301" i="4"/>
  <c r="T301" i="4"/>
  <c r="S301" i="4"/>
  <c r="R301" i="4"/>
  <c r="U300" i="4"/>
  <c r="T300" i="4"/>
  <c r="S300" i="4"/>
  <c r="R300" i="4"/>
  <c r="U299" i="4"/>
  <c r="T299" i="4"/>
  <c r="S299" i="4"/>
  <c r="R299" i="4"/>
  <c r="U298" i="4"/>
  <c r="T298" i="4"/>
  <c r="S298" i="4"/>
  <c r="R298" i="4"/>
  <c r="U297" i="4"/>
  <c r="T297" i="4"/>
  <c r="S297" i="4"/>
  <c r="R297" i="4"/>
  <c r="U296" i="4"/>
  <c r="T296" i="4"/>
  <c r="S296" i="4"/>
  <c r="R296" i="4"/>
  <c r="U295" i="4"/>
  <c r="T295" i="4"/>
  <c r="S295" i="4"/>
  <c r="R295" i="4"/>
  <c r="U294" i="4"/>
  <c r="T294" i="4"/>
  <c r="S294" i="4"/>
  <c r="R294" i="4"/>
  <c r="U293" i="4"/>
  <c r="T293" i="4"/>
  <c r="S293" i="4"/>
  <c r="R293" i="4"/>
  <c r="U292" i="4"/>
  <c r="T292" i="4"/>
  <c r="S292" i="4"/>
  <c r="R292" i="4"/>
  <c r="U291" i="4"/>
  <c r="T291" i="4"/>
  <c r="S291" i="4"/>
  <c r="R291" i="4"/>
  <c r="U290" i="4"/>
  <c r="T290" i="4"/>
  <c r="S290" i="4"/>
  <c r="R290" i="4"/>
  <c r="U289" i="4"/>
  <c r="T289" i="4"/>
  <c r="S289" i="4"/>
  <c r="R289" i="4"/>
  <c r="U288" i="4"/>
  <c r="T288" i="4"/>
  <c r="S288" i="4"/>
  <c r="R288" i="4"/>
  <c r="U287" i="4"/>
  <c r="T287" i="4"/>
  <c r="S287" i="4"/>
  <c r="R287" i="4"/>
  <c r="U286" i="4"/>
  <c r="T286" i="4"/>
  <c r="S286" i="4"/>
  <c r="R286" i="4"/>
  <c r="U285" i="4"/>
  <c r="T285" i="4"/>
  <c r="S285" i="4"/>
  <c r="R285" i="4"/>
  <c r="U284" i="4"/>
  <c r="T284" i="4"/>
  <c r="S284" i="4"/>
  <c r="R284" i="4"/>
  <c r="U283" i="4"/>
  <c r="T283" i="4"/>
  <c r="S283" i="4"/>
  <c r="R283" i="4"/>
  <c r="U282" i="4"/>
  <c r="T282" i="4"/>
  <c r="S282" i="4"/>
  <c r="R282" i="4"/>
  <c r="U281" i="4"/>
  <c r="T281" i="4"/>
  <c r="S281" i="4"/>
  <c r="R281" i="4"/>
  <c r="U280" i="4"/>
  <c r="T280" i="4"/>
  <c r="S280" i="4"/>
  <c r="R280" i="4"/>
  <c r="U279" i="4"/>
  <c r="T279" i="4"/>
  <c r="S279" i="4"/>
  <c r="R279" i="4"/>
  <c r="U278" i="4"/>
  <c r="T278" i="4"/>
  <c r="S278" i="4"/>
  <c r="R278" i="4"/>
  <c r="U277" i="4"/>
  <c r="T277" i="4"/>
  <c r="S277" i="4"/>
  <c r="R277" i="4"/>
  <c r="U276" i="4"/>
  <c r="T276" i="4"/>
  <c r="S276" i="4"/>
  <c r="R276" i="4"/>
  <c r="U275" i="4"/>
  <c r="T275" i="4"/>
  <c r="S275" i="4"/>
  <c r="R275" i="4"/>
  <c r="U274" i="4"/>
  <c r="T274" i="4"/>
  <c r="S274" i="4"/>
  <c r="R274" i="4"/>
  <c r="U273" i="4"/>
  <c r="T273" i="4"/>
  <c r="S273" i="4"/>
  <c r="R273" i="4"/>
  <c r="U272" i="4"/>
  <c r="T272" i="4"/>
  <c r="S272" i="4"/>
  <c r="R272" i="4"/>
  <c r="U271" i="4"/>
  <c r="T271" i="4"/>
  <c r="S271" i="4"/>
  <c r="R271" i="4"/>
  <c r="U270" i="4"/>
  <c r="T270" i="4"/>
  <c r="S270" i="4"/>
  <c r="R270" i="4"/>
  <c r="U269" i="4"/>
  <c r="T269" i="4"/>
  <c r="S269" i="4"/>
  <c r="R269" i="4"/>
  <c r="U268" i="4"/>
  <c r="T268" i="4"/>
  <c r="S268" i="4"/>
  <c r="R268" i="4"/>
  <c r="U267" i="4"/>
  <c r="T267" i="4"/>
  <c r="S267" i="4"/>
  <c r="R267" i="4"/>
  <c r="U266" i="4"/>
  <c r="T266" i="4"/>
  <c r="S266" i="4"/>
  <c r="R266" i="4"/>
  <c r="U265" i="4"/>
  <c r="T265" i="4"/>
  <c r="S265" i="4"/>
  <c r="R265" i="4"/>
  <c r="U264" i="4"/>
  <c r="T264" i="4"/>
  <c r="S264" i="4"/>
  <c r="R264" i="4"/>
  <c r="U263" i="4"/>
  <c r="T263" i="4"/>
  <c r="S263" i="4"/>
  <c r="R263" i="4"/>
  <c r="U262" i="4"/>
  <c r="T262" i="4"/>
  <c r="S262" i="4"/>
  <c r="R262" i="4"/>
  <c r="U261" i="4"/>
  <c r="T261" i="4"/>
  <c r="S261" i="4"/>
  <c r="R261" i="4"/>
  <c r="U260" i="4"/>
  <c r="T260" i="4"/>
  <c r="S260" i="4"/>
  <c r="R260" i="4"/>
  <c r="U259" i="4"/>
  <c r="T259" i="4"/>
  <c r="S259" i="4"/>
  <c r="R259" i="4"/>
  <c r="U258" i="4"/>
  <c r="T258" i="4"/>
  <c r="S258" i="4"/>
  <c r="R258" i="4"/>
  <c r="U257" i="4"/>
  <c r="T257" i="4"/>
  <c r="S257" i="4"/>
  <c r="R257" i="4"/>
  <c r="U256" i="4"/>
  <c r="T256" i="4"/>
  <c r="S256" i="4"/>
  <c r="R256" i="4"/>
  <c r="U255" i="4"/>
  <c r="T255" i="4"/>
  <c r="S255" i="4"/>
  <c r="R255" i="4"/>
  <c r="U254" i="4"/>
  <c r="T254" i="4"/>
  <c r="S254" i="4"/>
  <c r="R254" i="4"/>
  <c r="U253" i="4"/>
  <c r="T253" i="4"/>
  <c r="S253" i="4"/>
  <c r="R253" i="4"/>
  <c r="U252" i="4"/>
  <c r="T252" i="4"/>
  <c r="S252" i="4"/>
  <c r="R252" i="4"/>
  <c r="U251" i="4"/>
  <c r="T251" i="4"/>
  <c r="S251" i="4"/>
  <c r="R251" i="4"/>
  <c r="U250" i="4"/>
  <c r="T250" i="4"/>
  <c r="S250" i="4"/>
  <c r="R250" i="4"/>
  <c r="U249" i="4"/>
  <c r="T249" i="4"/>
  <c r="S249" i="4"/>
  <c r="R249" i="4"/>
  <c r="U248" i="4"/>
  <c r="T248" i="4"/>
  <c r="S248" i="4"/>
  <c r="R248" i="4"/>
  <c r="U247" i="4"/>
  <c r="T247" i="4"/>
  <c r="S247" i="4"/>
  <c r="R247" i="4"/>
  <c r="U246" i="4"/>
  <c r="T246" i="4"/>
  <c r="S246" i="4"/>
  <c r="R246" i="4"/>
  <c r="U245" i="4"/>
  <c r="T245" i="4"/>
  <c r="S245" i="4"/>
  <c r="R245" i="4"/>
  <c r="U244" i="4"/>
  <c r="T244" i="4"/>
  <c r="S244" i="4"/>
  <c r="R244" i="4"/>
  <c r="U243" i="4"/>
  <c r="T243" i="4"/>
  <c r="S243" i="4"/>
  <c r="R243" i="4"/>
  <c r="U242" i="4"/>
  <c r="T242" i="4"/>
  <c r="S242" i="4"/>
  <c r="R242" i="4"/>
  <c r="U241" i="4"/>
  <c r="T241" i="4"/>
  <c r="S241" i="4"/>
  <c r="R241" i="4"/>
  <c r="U240" i="4"/>
  <c r="T240" i="4"/>
  <c r="S240" i="4"/>
  <c r="R240" i="4"/>
  <c r="U239" i="4"/>
  <c r="T239" i="4"/>
  <c r="S239" i="4"/>
  <c r="R239" i="4"/>
  <c r="U238" i="4"/>
  <c r="T238" i="4"/>
  <c r="S238" i="4"/>
  <c r="R238" i="4"/>
  <c r="U237" i="4"/>
  <c r="T237" i="4"/>
  <c r="S237" i="4"/>
  <c r="R237" i="4"/>
  <c r="U236" i="4"/>
  <c r="T236" i="4"/>
  <c r="S236" i="4"/>
  <c r="R236" i="4"/>
  <c r="U235" i="4"/>
  <c r="T235" i="4"/>
  <c r="S235" i="4"/>
  <c r="R235" i="4"/>
  <c r="U234" i="4"/>
  <c r="T234" i="4"/>
  <c r="S234" i="4"/>
  <c r="R234" i="4"/>
  <c r="U233" i="4"/>
  <c r="T233" i="4"/>
  <c r="S233" i="4"/>
  <c r="R233" i="4"/>
  <c r="U232" i="4"/>
  <c r="T232" i="4"/>
  <c r="S232" i="4"/>
  <c r="R232" i="4"/>
  <c r="U231" i="4"/>
  <c r="T231" i="4"/>
  <c r="S231" i="4"/>
  <c r="R231" i="4"/>
  <c r="U230" i="4"/>
  <c r="T230" i="4"/>
  <c r="S230" i="4"/>
  <c r="R230" i="4"/>
  <c r="U229" i="4"/>
  <c r="T229" i="4"/>
  <c r="S229" i="4"/>
  <c r="R229" i="4"/>
  <c r="U228" i="4"/>
  <c r="T228" i="4"/>
  <c r="S228" i="4"/>
  <c r="R228" i="4"/>
  <c r="U227" i="4"/>
  <c r="T227" i="4"/>
  <c r="S227" i="4"/>
  <c r="R227" i="4"/>
  <c r="U226" i="4"/>
  <c r="T226" i="4"/>
  <c r="S226" i="4"/>
  <c r="R226" i="4"/>
  <c r="U225" i="4"/>
  <c r="T225" i="4"/>
  <c r="S225" i="4"/>
  <c r="R225" i="4"/>
  <c r="U224" i="4"/>
  <c r="T224" i="4"/>
  <c r="S224" i="4"/>
  <c r="R224" i="4"/>
  <c r="U223" i="4"/>
  <c r="T223" i="4"/>
  <c r="S223" i="4"/>
  <c r="R223" i="4"/>
  <c r="U222" i="4"/>
  <c r="T222" i="4"/>
  <c r="S222" i="4"/>
  <c r="R222" i="4"/>
  <c r="U221" i="4"/>
  <c r="T221" i="4"/>
  <c r="S221" i="4"/>
  <c r="R221" i="4"/>
  <c r="U220" i="4"/>
  <c r="T220" i="4"/>
  <c r="S220" i="4"/>
  <c r="R220" i="4"/>
  <c r="U219" i="4"/>
  <c r="T219" i="4"/>
  <c r="S219" i="4"/>
  <c r="R219" i="4"/>
  <c r="U218" i="4"/>
  <c r="T218" i="4"/>
  <c r="S218" i="4"/>
  <c r="R218" i="4"/>
  <c r="U217" i="4"/>
  <c r="T217" i="4"/>
  <c r="S217" i="4"/>
  <c r="R217" i="4"/>
  <c r="U216" i="4"/>
  <c r="T216" i="4"/>
  <c r="S216" i="4"/>
  <c r="R216" i="4"/>
  <c r="U215" i="4"/>
  <c r="T215" i="4"/>
  <c r="S215" i="4"/>
  <c r="R215" i="4"/>
  <c r="U214" i="4"/>
  <c r="T214" i="4"/>
  <c r="S214" i="4"/>
  <c r="R214" i="4"/>
  <c r="U213" i="4"/>
  <c r="T213" i="4"/>
  <c r="S213" i="4"/>
  <c r="R213" i="4"/>
  <c r="U212" i="4"/>
  <c r="T212" i="4"/>
  <c r="S212" i="4"/>
  <c r="R212" i="4"/>
  <c r="U211" i="4"/>
  <c r="T211" i="4"/>
  <c r="S211" i="4"/>
  <c r="R211" i="4"/>
  <c r="U210" i="4"/>
  <c r="T210" i="4"/>
  <c r="S210" i="4"/>
  <c r="R210" i="4"/>
  <c r="U209" i="4"/>
  <c r="T209" i="4"/>
  <c r="S209" i="4"/>
  <c r="R209" i="4"/>
  <c r="U208" i="4"/>
  <c r="T208" i="4"/>
  <c r="S208" i="4"/>
  <c r="R208" i="4"/>
  <c r="U207" i="4"/>
  <c r="T207" i="4"/>
  <c r="S207" i="4"/>
  <c r="R207" i="4"/>
  <c r="U206" i="4"/>
  <c r="T206" i="4"/>
  <c r="S206" i="4"/>
  <c r="R206" i="4"/>
  <c r="U205" i="4"/>
  <c r="T205" i="4"/>
  <c r="S205" i="4"/>
  <c r="R205" i="4"/>
  <c r="U204" i="4"/>
  <c r="T204" i="4"/>
  <c r="S204" i="4"/>
  <c r="R204" i="4"/>
  <c r="U203" i="4"/>
  <c r="T203" i="4"/>
  <c r="S203" i="4"/>
  <c r="R203" i="4"/>
  <c r="U202" i="4"/>
  <c r="T202" i="4"/>
  <c r="S202" i="4"/>
  <c r="R202" i="4"/>
  <c r="U201" i="4"/>
  <c r="T201" i="4"/>
  <c r="S201" i="4"/>
  <c r="R201" i="4"/>
  <c r="U200" i="4"/>
  <c r="T200" i="4"/>
  <c r="S200" i="4"/>
  <c r="R200" i="4"/>
  <c r="U199" i="4"/>
  <c r="T199" i="4"/>
  <c r="S199" i="4"/>
  <c r="R199" i="4"/>
  <c r="U198" i="4"/>
  <c r="T198" i="4"/>
  <c r="S198" i="4"/>
  <c r="R198" i="4"/>
  <c r="U197" i="4"/>
  <c r="T197" i="4"/>
  <c r="S197" i="4"/>
  <c r="R197" i="4"/>
  <c r="U196" i="4"/>
  <c r="T196" i="4"/>
  <c r="S196" i="4"/>
  <c r="R196" i="4"/>
  <c r="U195" i="4"/>
  <c r="T195" i="4"/>
  <c r="S195" i="4"/>
  <c r="R195" i="4"/>
  <c r="U194" i="4"/>
  <c r="T194" i="4"/>
  <c r="S194" i="4"/>
  <c r="R194" i="4"/>
  <c r="U193" i="4"/>
  <c r="T193" i="4"/>
  <c r="S193" i="4"/>
  <c r="R193" i="4"/>
  <c r="U192" i="4"/>
  <c r="T192" i="4"/>
  <c r="S192" i="4"/>
  <c r="R192" i="4"/>
  <c r="U191" i="4"/>
  <c r="T191" i="4"/>
  <c r="S191" i="4"/>
  <c r="R191" i="4"/>
  <c r="U190" i="4"/>
  <c r="T190" i="4"/>
  <c r="S190" i="4"/>
  <c r="R190" i="4"/>
  <c r="U189" i="4"/>
  <c r="T189" i="4"/>
  <c r="S189" i="4"/>
  <c r="R189" i="4"/>
  <c r="U188" i="4"/>
  <c r="T188" i="4"/>
  <c r="S188" i="4"/>
  <c r="R188" i="4"/>
  <c r="U187" i="4"/>
  <c r="T187" i="4"/>
  <c r="S187" i="4"/>
  <c r="R187" i="4"/>
  <c r="U186" i="4"/>
  <c r="T186" i="4"/>
  <c r="S186" i="4"/>
  <c r="R186" i="4"/>
  <c r="U185" i="4"/>
  <c r="T185" i="4"/>
  <c r="S185" i="4"/>
  <c r="R185" i="4"/>
  <c r="U184" i="4"/>
  <c r="T184" i="4"/>
  <c r="S184" i="4"/>
  <c r="R184" i="4"/>
  <c r="U183" i="4"/>
  <c r="T183" i="4"/>
  <c r="S183" i="4"/>
  <c r="R183" i="4"/>
  <c r="U182" i="4"/>
  <c r="T182" i="4"/>
  <c r="S182" i="4"/>
  <c r="R182" i="4"/>
  <c r="U181" i="4"/>
  <c r="T181" i="4"/>
  <c r="S181" i="4"/>
  <c r="R181" i="4"/>
  <c r="U180" i="4"/>
  <c r="T180" i="4"/>
  <c r="S180" i="4"/>
  <c r="R180" i="4"/>
  <c r="U179" i="4"/>
  <c r="T179" i="4"/>
  <c r="S179" i="4"/>
  <c r="R179" i="4"/>
  <c r="U178" i="4"/>
  <c r="T178" i="4"/>
  <c r="S178" i="4"/>
  <c r="R178" i="4"/>
  <c r="U177" i="4"/>
  <c r="T177" i="4"/>
  <c r="S177" i="4"/>
  <c r="R177" i="4"/>
  <c r="U176" i="4"/>
  <c r="T176" i="4"/>
  <c r="S176" i="4"/>
  <c r="R176" i="4"/>
  <c r="U175" i="4"/>
  <c r="T175" i="4"/>
  <c r="S175" i="4"/>
  <c r="R175" i="4"/>
  <c r="U174" i="4"/>
  <c r="T174" i="4"/>
  <c r="S174" i="4"/>
  <c r="R174" i="4"/>
  <c r="U173" i="4"/>
  <c r="T173" i="4"/>
  <c r="S173" i="4"/>
  <c r="R173" i="4"/>
  <c r="U172" i="4"/>
  <c r="T172" i="4"/>
  <c r="S172" i="4"/>
  <c r="R172" i="4"/>
  <c r="U171" i="4"/>
  <c r="T171" i="4"/>
  <c r="S171" i="4"/>
  <c r="R171" i="4"/>
  <c r="U170" i="4"/>
  <c r="T170" i="4"/>
  <c r="S170" i="4"/>
  <c r="R170" i="4"/>
  <c r="U169" i="4"/>
  <c r="T169" i="4"/>
  <c r="S169" i="4"/>
  <c r="R169" i="4"/>
  <c r="U168" i="4"/>
  <c r="T168" i="4"/>
  <c r="S168" i="4"/>
  <c r="R168" i="4"/>
  <c r="U167" i="4"/>
  <c r="T167" i="4"/>
  <c r="S167" i="4"/>
  <c r="R167" i="4"/>
  <c r="U166" i="4"/>
  <c r="T166" i="4"/>
  <c r="S166" i="4"/>
  <c r="R166" i="4"/>
  <c r="U165" i="4"/>
  <c r="T165" i="4"/>
  <c r="S165" i="4"/>
  <c r="R165" i="4"/>
  <c r="U164" i="4"/>
  <c r="T164" i="4"/>
  <c r="S164" i="4"/>
  <c r="R164" i="4"/>
  <c r="U163" i="4"/>
  <c r="T163" i="4"/>
  <c r="S163" i="4"/>
  <c r="R163" i="4"/>
  <c r="U162" i="4"/>
  <c r="T162" i="4"/>
  <c r="S162" i="4"/>
  <c r="R162" i="4"/>
  <c r="U161" i="4"/>
  <c r="T161" i="4"/>
  <c r="S161" i="4"/>
  <c r="R161" i="4"/>
  <c r="U160" i="4"/>
  <c r="T160" i="4"/>
  <c r="S160" i="4"/>
  <c r="R160" i="4"/>
  <c r="U159" i="4"/>
  <c r="T159" i="4"/>
  <c r="S159" i="4"/>
  <c r="R159" i="4"/>
  <c r="U158" i="4"/>
  <c r="T158" i="4"/>
  <c r="S158" i="4"/>
  <c r="R158" i="4"/>
  <c r="U157" i="4"/>
  <c r="T157" i="4"/>
  <c r="S157" i="4"/>
  <c r="R157" i="4"/>
  <c r="U156" i="4"/>
  <c r="T156" i="4"/>
  <c r="S156" i="4"/>
  <c r="R156" i="4"/>
  <c r="U155" i="4"/>
  <c r="T155" i="4"/>
  <c r="S155" i="4"/>
  <c r="R155" i="4"/>
  <c r="U154" i="4"/>
  <c r="T154" i="4"/>
  <c r="S154" i="4"/>
  <c r="R154" i="4"/>
  <c r="U153" i="4"/>
  <c r="T153" i="4"/>
  <c r="S153" i="4"/>
  <c r="R153" i="4"/>
  <c r="U152" i="4"/>
  <c r="T152" i="4"/>
  <c r="S152" i="4"/>
  <c r="R152" i="4"/>
  <c r="U151" i="4"/>
  <c r="T151" i="4"/>
  <c r="S151" i="4"/>
  <c r="R151" i="4"/>
  <c r="U150" i="4"/>
  <c r="T150" i="4"/>
  <c r="S150" i="4"/>
  <c r="R150" i="4"/>
  <c r="U149" i="4"/>
  <c r="T149" i="4"/>
  <c r="S149" i="4"/>
  <c r="R149" i="4"/>
  <c r="U148" i="4"/>
  <c r="T148" i="4"/>
  <c r="S148" i="4"/>
  <c r="R148" i="4"/>
  <c r="U147" i="4"/>
  <c r="T147" i="4"/>
  <c r="S147" i="4"/>
  <c r="R147" i="4"/>
  <c r="U146" i="4"/>
  <c r="T146" i="4"/>
  <c r="S146" i="4"/>
  <c r="R146" i="4"/>
  <c r="U145" i="4"/>
  <c r="T145" i="4"/>
  <c r="S145" i="4"/>
  <c r="R145" i="4"/>
  <c r="U144" i="4"/>
  <c r="T144" i="4"/>
  <c r="S144" i="4"/>
  <c r="R144" i="4"/>
  <c r="U143" i="4"/>
  <c r="T143" i="4"/>
  <c r="S143" i="4"/>
  <c r="R143" i="4"/>
  <c r="U142" i="4"/>
  <c r="T142" i="4"/>
  <c r="S142" i="4"/>
  <c r="R142" i="4"/>
  <c r="U141" i="4"/>
  <c r="T141" i="4"/>
  <c r="S141" i="4"/>
  <c r="R141" i="4"/>
  <c r="U140" i="4"/>
  <c r="T140" i="4"/>
  <c r="S140" i="4"/>
  <c r="R140" i="4"/>
  <c r="U139" i="4"/>
  <c r="T139" i="4"/>
  <c r="S139" i="4"/>
  <c r="R139" i="4"/>
  <c r="U138" i="4"/>
  <c r="T138" i="4"/>
  <c r="S138" i="4"/>
  <c r="R138" i="4"/>
  <c r="U137" i="4"/>
  <c r="T137" i="4"/>
  <c r="S137" i="4"/>
  <c r="R137" i="4"/>
  <c r="U136" i="4"/>
  <c r="T136" i="4"/>
  <c r="S136" i="4"/>
  <c r="R136" i="4"/>
  <c r="U135" i="4"/>
  <c r="T135" i="4"/>
  <c r="S135" i="4"/>
  <c r="R135" i="4"/>
  <c r="U134" i="4"/>
  <c r="T134" i="4"/>
  <c r="S134" i="4"/>
  <c r="R134" i="4"/>
  <c r="U133" i="4"/>
  <c r="T133" i="4"/>
  <c r="S133" i="4"/>
  <c r="R133" i="4"/>
  <c r="U132" i="4"/>
  <c r="T132" i="4"/>
  <c r="S132" i="4"/>
  <c r="R132" i="4"/>
  <c r="U131" i="4"/>
  <c r="T131" i="4"/>
  <c r="S131" i="4"/>
  <c r="R131" i="4"/>
  <c r="U130" i="4"/>
  <c r="T130" i="4"/>
  <c r="S130" i="4"/>
  <c r="R130" i="4"/>
  <c r="U129" i="4"/>
  <c r="T129" i="4"/>
  <c r="S129" i="4"/>
  <c r="R129" i="4"/>
  <c r="U128" i="4"/>
  <c r="T128" i="4"/>
  <c r="S128" i="4"/>
  <c r="R128" i="4"/>
  <c r="U127" i="4"/>
  <c r="T127" i="4"/>
  <c r="S127" i="4"/>
  <c r="R127" i="4"/>
  <c r="U126" i="4"/>
  <c r="T126" i="4"/>
  <c r="S126" i="4"/>
  <c r="R126" i="4"/>
  <c r="U125" i="4"/>
  <c r="T125" i="4"/>
  <c r="S125" i="4"/>
  <c r="R125" i="4"/>
  <c r="U124" i="4"/>
  <c r="T124" i="4"/>
  <c r="S124" i="4"/>
  <c r="R124" i="4"/>
  <c r="U123" i="4"/>
  <c r="T123" i="4"/>
  <c r="S123" i="4"/>
  <c r="R123" i="4"/>
  <c r="U122" i="4"/>
  <c r="T122" i="4"/>
  <c r="S122" i="4"/>
  <c r="R122" i="4"/>
  <c r="U121" i="4"/>
  <c r="T121" i="4"/>
  <c r="S121" i="4"/>
  <c r="R121" i="4"/>
  <c r="U120" i="4"/>
  <c r="T120" i="4"/>
  <c r="S120" i="4"/>
  <c r="R120" i="4"/>
  <c r="U119" i="4"/>
  <c r="T119" i="4"/>
  <c r="S119" i="4"/>
  <c r="R119" i="4"/>
  <c r="U118" i="4"/>
  <c r="T118" i="4"/>
  <c r="S118" i="4"/>
  <c r="R118" i="4"/>
  <c r="U117" i="4"/>
  <c r="T117" i="4"/>
  <c r="S117" i="4"/>
  <c r="R117" i="4"/>
  <c r="U116" i="4"/>
  <c r="T116" i="4"/>
  <c r="S116" i="4"/>
  <c r="R116" i="4"/>
  <c r="U115" i="4"/>
  <c r="T115" i="4"/>
  <c r="S115" i="4"/>
  <c r="R115" i="4"/>
  <c r="U114" i="4"/>
  <c r="T114" i="4"/>
  <c r="S114" i="4"/>
  <c r="R114" i="4"/>
  <c r="U113" i="4"/>
  <c r="T113" i="4"/>
  <c r="S113" i="4"/>
  <c r="R113" i="4"/>
  <c r="U112" i="4"/>
  <c r="T112" i="4"/>
  <c r="S112" i="4"/>
  <c r="R112" i="4"/>
  <c r="U111" i="4"/>
  <c r="T111" i="4"/>
  <c r="S111" i="4"/>
  <c r="R111" i="4"/>
  <c r="U110" i="4"/>
  <c r="T110" i="4"/>
  <c r="S110" i="4"/>
  <c r="R110" i="4"/>
  <c r="U109" i="4"/>
  <c r="T109" i="4"/>
  <c r="S109" i="4"/>
  <c r="R109" i="4"/>
  <c r="U108" i="4"/>
  <c r="T108" i="4"/>
  <c r="S108" i="4"/>
  <c r="R108" i="4"/>
  <c r="U107" i="4"/>
  <c r="T107" i="4"/>
  <c r="S107" i="4"/>
  <c r="R107" i="4"/>
  <c r="U106" i="4"/>
  <c r="T106" i="4"/>
  <c r="S106" i="4"/>
  <c r="R106" i="4"/>
  <c r="U105" i="4"/>
  <c r="T105" i="4"/>
  <c r="S105" i="4"/>
  <c r="R105" i="4"/>
  <c r="U104" i="4"/>
  <c r="T104" i="4"/>
  <c r="S104" i="4"/>
  <c r="R104" i="4"/>
  <c r="U103" i="4"/>
  <c r="T103" i="4"/>
  <c r="S103" i="4"/>
  <c r="R103" i="4"/>
  <c r="U102" i="4"/>
  <c r="T102" i="4"/>
  <c r="S102" i="4"/>
  <c r="R102" i="4"/>
  <c r="U101" i="4"/>
  <c r="T101" i="4"/>
  <c r="S101" i="4"/>
  <c r="R101" i="4"/>
  <c r="U100" i="4"/>
  <c r="T100" i="4"/>
  <c r="S100" i="4"/>
  <c r="R100" i="4"/>
  <c r="U99" i="4"/>
  <c r="T99" i="4"/>
  <c r="S99" i="4"/>
  <c r="R99" i="4"/>
  <c r="U98" i="4"/>
  <c r="T98" i="4"/>
  <c r="S98" i="4"/>
  <c r="R98" i="4"/>
  <c r="U97" i="4"/>
  <c r="T97" i="4"/>
  <c r="S97" i="4"/>
  <c r="R97" i="4"/>
  <c r="U96" i="4"/>
  <c r="T96" i="4"/>
  <c r="S96" i="4"/>
  <c r="R96" i="4"/>
  <c r="U95" i="4"/>
  <c r="T95" i="4"/>
  <c r="S95" i="4"/>
  <c r="R95" i="4"/>
  <c r="U94" i="4"/>
  <c r="T94" i="4"/>
  <c r="S94" i="4"/>
  <c r="R94" i="4"/>
  <c r="U93" i="4"/>
  <c r="T93" i="4"/>
  <c r="S93" i="4"/>
  <c r="R93" i="4"/>
  <c r="U92" i="4"/>
  <c r="T92" i="4"/>
  <c r="S92" i="4"/>
  <c r="R92" i="4"/>
  <c r="U91" i="4"/>
  <c r="T91" i="4"/>
  <c r="S91" i="4"/>
  <c r="R91" i="4"/>
  <c r="U90" i="4"/>
  <c r="T90" i="4"/>
  <c r="S90" i="4"/>
  <c r="R90" i="4"/>
  <c r="U89" i="4"/>
  <c r="T89" i="4"/>
  <c r="S89" i="4"/>
  <c r="R89" i="4"/>
  <c r="U88" i="4"/>
  <c r="T88" i="4"/>
  <c r="S88" i="4"/>
  <c r="R88" i="4"/>
  <c r="U87" i="4"/>
  <c r="T87" i="4"/>
  <c r="S87" i="4"/>
  <c r="R87" i="4"/>
  <c r="U86" i="4"/>
  <c r="T86" i="4"/>
  <c r="S86" i="4"/>
  <c r="R86" i="4"/>
  <c r="U85" i="4"/>
  <c r="T85" i="4"/>
  <c r="S85" i="4"/>
  <c r="R85" i="4"/>
  <c r="U84" i="4"/>
  <c r="T84" i="4"/>
  <c r="S84" i="4"/>
  <c r="R84" i="4"/>
  <c r="U83" i="4"/>
  <c r="T83" i="4"/>
  <c r="S83" i="4"/>
  <c r="R83" i="4"/>
  <c r="U82" i="4"/>
  <c r="T82" i="4"/>
  <c r="S82" i="4"/>
  <c r="R82" i="4"/>
  <c r="U81" i="4"/>
  <c r="T81" i="4"/>
  <c r="S81" i="4"/>
  <c r="R81" i="4"/>
  <c r="U80" i="4"/>
  <c r="T80" i="4"/>
  <c r="S80" i="4"/>
  <c r="R80" i="4"/>
  <c r="U79" i="4"/>
  <c r="T79" i="4"/>
  <c r="S79" i="4"/>
  <c r="R79" i="4"/>
  <c r="U78" i="4"/>
  <c r="T78" i="4"/>
  <c r="S78" i="4"/>
  <c r="R78" i="4"/>
  <c r="U77" i="4"/>
  <c r="T77" i="4"/>
  <c r="S77" i="4"/>
  <c r="R77" i="4"/>
  <c r="U76" i="4"/>
  <c r="T76" i="4"/>
  <c r="S76" i="4"/>
  <c r="R76" i="4"/>
  <c r="U75" i="4"/>
  <c r="T75" i="4"/>
  <c r="S75" i="4"/>
  <c r="R75" i="4"/>
  <c r="U74" i="4"/>
  <c r="T74" i="4"/>
  <c r="S74" i="4"/>
  <c r="R74" i="4"/>
  <c r="U73" i="4"/>
  <c r="T73" i="4"/>
  <c r="S73" i="4"/>
  <c r="R73" i="4"/>
  <c r="U72" i="4"/>
  <c r="T72" i="4"/>
  <c r="S72" i="4"/>
  <c r="R72" i="4"/>
  <c r="U71" i="4"/>
  <c r="T71" i="4"/>
  <c r="S71" i="4"/>
  <c r="R71" i="4"/>
  <c r="U70" i="4"/>
  <c r="T70" i="4"/>
  <c r="S70" i="4"/>
  <c r="R70" i="4"/>
  <c r="U69" i="4"/>
  <c r="T69" i="4"/>
  <c r="S69" i="4"/>
  <c r="R69" i="4"/>
  <c r="U68" i="4"/>
  <c r="T68" i="4"/>
  <c r="S68" i="4"/>
  <c r="R68" i="4"/>
  <c r="U67" i="4"/>
  <c r="T67" i="4"/>
  <c r="S67" i="4"/>
  <c r="R67" i="4"/>
  <c r="U66" i="4"/>
  <c r="T66" i="4"/>
  <c r="S66" i="4"/>
  <c r="R66" i="4"/>
  <c r="U65" i="4"/>
  <c r="T65" i="4"/>
  <c r="S65" i="4"/>
  <c r="R65" i="4"/>
  <c r="U64" i="4"/>
  <c r="T64" i="4"/>
  <c r="S64" i="4"/>
  <c r="R64" i="4"/>
  <c r="U63" i="4"/>
  <c r="T63" i="4"/>
  <c r="S63" i="4"/>
  <c r="R63" i="4"/>
  <c r="U62" i="4"/>
  <c r="T62" i="4"/>
  <c r="S62" i="4"/>
  <c r="R62" i="4"/>
  <c r="U61" i="4"/>
  <c r="T61" i="4"/>
  <c r="S61" i="4"/>
  <c r="R61" i="4"/>
  <c r="U60" i="4"/>
  <c r="T60" i="4"/>
  <c r="S60" i="4"/>
  <c r="R60" i="4"/>
  <c r="U59" i="4"/>
  <c r="T59" i="4"/>
  <c r="S59" i="4"/>
  <c r="R59" i="4"/>
  <c r="U58" i="4"/>
  <c r="T58" i="4"/>
  <c r="S58" i="4"/>
  <c r="R58" i="4"/>
  <c r="U57" i="4"/>
  <c r="T57" i="4"/>
  <c r="S57" i="4"/>
  <c r="R57" i="4"/>
  <c r="U56" i="4"/>
  <c r="T56" i="4"/>
  <c r="S56" i="4"/>
  <c r="R56" i="4"/>
  <c r="U55" i="4"/>
  <c r="T55" i="4"/>
  <c r="S55" i="4"/>
  <c r="R55" i="4"/>
  <c r="U54" i="4"/>
  <c r="T54" i="4"/>
  <c r="S54" i="4"/>
  <c r="R54" i="4"/>
  <c r="U53" i="4"/>
  <c r="T53" i="4"/>
  <c r="S53" i="4"/>
  <c r="R53" i="4"/>
  <c r="U52" i="4"/>
  <c r="T52" i="4"/>
  <c r="S52" i="4"/>
  <c r="R52" i="4"/>
  <c r="U51" i="4"/>
  <c r="T51" i="4"/>
  <c r="S51" i="4"/>
  <c r="R51" i="4"/>
  <c r="U50" i="4"/>
  <c r="T50" i="4"/>
  <c r="S50" i="4"/>
  <c r="R50" i="4"/>
  <c r="U49" i="4"/>
  <c r="T49" i="4"/>
  <c r="S49" i="4"/>
  <c r="R49" i="4"/>
  <c r="U48" i="4"/>
  <c r="T48" i="4"/>
  <c r="S48" i="4"/>
  <c r="R48" i="4"/>
  <c r="U47" i="4"/>
  <c r="T47" i="4"/>
  <c r="S47" i="4"/>
  <c r="R47" i="4"/>
  <c r="U46" i="4"/>
  <c r="T46" i="4"/>
  <c r="S46" i="4"/>
  <c r="R46" i="4"/>
  <c r="U45" i="4"/>
  <c r="T45" i="4"/>
  <c r="S45" i="4"/>
  <c r="R45" i="4"/>
  <c r="U44" i="4"/>
  <c r="T44" i="4"/>
  <c r="S44" i="4"/>
  <c r="R44" i="4"/>
  <c r="U43" i="4"/>
  <c r="T43" i="4"/>
  <c r="S43" i="4"/>
  <c r="R43" i="4"/>
  <c r="U42" i="4"/>
  <c r="T42" i="4"/>
  <c r="S42" i="4"/>
  <c r="R42" i="4"/>
  <c r="U41" i="4"/>
  <c r="T41" i="4"/>
  <c r="S41" i="4"/>
  <c r="R41" i="4"/>
  <c r="U40" i="4"/>
  <c r="T40" i="4"/>
  <c r="S40" i="4"/>
  <c r="R40" i="4"/>
  <c r="U39" i="4"/>
  <c r="T39" i="4"/>
  <c r="S39" i="4"/>
  <c r="R39" i="4"/>
  <c r="U38" i="4"/>
  <c r="T38" i="4"/>
  <c r="S38" i="4"/>
  <c r="R38" i="4"/>
  <c r="U37" i="4"/>
  <c r="T37" i="4"/>
  <c r="S37" i="4"/>
  <c r="R37" i="4"/>
  <c r="U36" i="4"/>
  <c r="T36" i="4"/>
  <c r="S36" i="4"/>
  <c r="R36" i="4"/>
  <c r="U35" i="4"/>
  <c r="T35" i="4"/>
  <c r="S35" i="4"/>
  <c r="R35" i="4"/>
  <c r="U34" i="4"/>
  <c r="T34" i="4"/>
  <c r="S34" i="4"/>
  <c r="R34" i="4"/>
  <c r="U33" i="4"/>
  <c r="T33" i="4"/>
  <c r="S33" i="4"/>
  <c r="R33" i="4"/>
  <c r="U32" i="4"/>
  <c r="T32" i="4"/>
  <c r="S32" i="4"/>
  <c r="R32" i="4"/>
  <c r="U31" i="4"/>
  <c r="T31" i="4"/>
  <c r="S31" i="4"/>
  <c r="R31" i="4"/>
  <c r="U30" i="4"/>
  <c r="T30" i="4"/>
  <c r="S30" i="4"/>
  <c r="R30" i="4"/>
  <c r="U29" i="4"/>
  <c r="T29" i="4"/>
  <c r="S29" i="4"/>
  <c r="R29" i="4"/>
  <c r="U28" i="4"/>
  <c r="T28" i="4"/>
  <c r="S28" i="4"/>
  <c r="R28" i="4"/>
  <c r="U27" i="4"/>
  <c r="T27" i="4"/>
  <c r="S27" i="4"/>
  <c r="R27" i="4"/>
  <c r="U26" i="4"/>
  <c r="T26" i="4"/>
  <c r="S26" i="4"/>
  <c r="R26" i="4"/>
  <c r="U25" i="4"/>
  <c r="T25" i="4"/>
  <c r="S25" i="4"/>
  <c r="R25" i="4"/>
  <c r="U24" i="4"/>
  <c r="T24" i="4"/>
  <c r="S24" i="4"/>
  <c r="R24" i="4"/>
  <c r="U23" i="4"/>
  <c r="T23" i="4"/>
  <c r="S23" i="4"/>
  <c r="R23" i="4"/>
  <c r="U22" i="4"/>
  <c r="T22" i="4"/>
  <c r="S22" i="4"/>
  <c r="R22" i="4"/>
  <c r="U21" i="4"/>
  <c r="T21" i="4"/>
  <c r="S21" i="4"/>
  <c r="R21" i="4"/>
  <c r="U20" i="4"/>
  <c r="T20" i="4"/>
  <c r="S20" i="4"/>
  <c r="R20" i="4"/>
  <c r="U19" i="4"/>
  <c r="T19" i="4"/>
  <c r="S19" i="4"/>
  <c r="R19" i="4"/>
  <c r="U18" i="4"/>
  <c r="T18" i="4"/>
  <c r="S18" i="4"/>
  <c r="R18" i="4"/>
  <c r="U17" i="4"/>
  <c r="T17" i="4"/>
  <c r="S17" i="4"/>
  <c r="R17" i="4"/>
  <c r="U16" i="4"/>
  <c r="T16" i="4"/>
  <c r="S16" i="4"/>
  <c r="R16" i="4"/>
  <c r="U15" i="4"/>
  <c r="T15" i="4"/>
  <c r="S15" i="4"/>
  <c r="R15" i="4"/>
  <c r="U14" i="4"/>
  <c r="T14" i="4"/>
  <c r="S14" i="4"/>
  <c r="R14" i="4"/>
  <c r="U13" i="4"/>
  <c r="T13" i="4"/>
  <c r="S13" i="4"/>
  <c r="R13" i="4"/>
  <c r="U12" i="4"/>
  <c r="T12" i="4"/>
  <c r="S12" i="4"/>
  <c r="R12" i="4"/>
  <c r="U11" i="4"/>
  <c r="T11" i="4"/>
  <c r="S11" i="4"/>
  <c r="R11" i="4"/>
  <c r="U10" i="4"/>
  <c r="T10" i="4"/>
  <c r="S10" i="4"/>
  <c r="R10" i="4"/>
  <c r="U9" i="4"/>
  <c r="T9" i="4"/>
  <c r="S9" i="4"/>
  <c r="R9" i="4"/>
  <c r="U8" i="4"/>
  <c r="T8" i="4"/>
  <c r="S8" i="4"/>
  <c r="R8" i="4"/>
  <c r="U7" i="4"/>
  <c r="T7" i="4"/>
  <c r="S7" i="4"/>
  <c r="R7" i="4"/>
  <c r="U6" i="4"/>
  <c r="T6" i="4"/>
  <c r="S6" i="4"/>
  <c r="R6" i="4"/>
  <c r="T5" i="4"/>
  <c r="S5" i="4"/>
  <c r="R5" i="4"/>
  <c r="O5" i="4"/>
  <c r="U4" i="4"/>
  <c r="T4" i="4"/>
  <c r="S4" i="4"/>
  <c r="R4" i="4"/>
  <c r="T3" i="4"/>
  <c r="S3" i="4"/>
  <c r="R3" i="4"/>
  <c r="O3" i="4"/>
  <c r="V2" i="4"/>
  <c r="U2" i="4"/>
  <c r="T2" i="4"/>
  <c r="S2" i="4"/>
  <c r="R2" i="4"/>
  <c r="M6" i="5" l="1"/>
  <c r="D20" i="1"/>
  <c r="D8" i="3"/>
  <c r="D9" i="3" s="1"/>
  <c r="D10" i="3" s="1"/>
  <c r="D11" i="3" s="1"/>
  <c r="D12" i="3" s="1"/>
  <c r="D13" i="3" s="1"/>
  <c r="D14" i="3" s="1"/>
  <c r="D15" i="3" s="1"/>
  <c r="D16" i="3" s="1"/>
  <c r="D17" i="3" s="1"/>
  <c r="C3" i="5"/>
  <c r="C4" i="5" s="1"/>
  <c r="D4" i="5" s="1"/>
  <c r="V204" i="4"/>
  <c r="G14" i="5"/>
  <c r="M26" i="5"/>
  <c r="V3" i="4"/>
  <c r="V69" i="4"/>
  <c r="G31" i="5"/>
  <c r="V31" i="4"/>
  <c r="M2" i="5"/>
  <c r="V41" i="4"/>
  <c r="V172" i="4"/>
  <c r="U5" i="4"/>
  <c r="V124" i="4"/>
  <c r="G21" i="5"/>
  <c r="G37" i="5"/>
  <c r="K5" i="5"/>
  <c r="V36" i="4"/>
  <c r="K17" i="5"/>
  <c r="G19" i="5"/>
  <c r="K22" i="5"/>
  <c r="B10" i="1"/>
  <c r="K19" i="5"/>
  <c r="M22" i="5"/>
  <c r="V148" i="4"/>
  <c r="M27" i="5"/>
  <c r="V348" i="4"/>
  <c r="G5" i="5"/>
  <c r="V39" i="4"/>
  <c r="K15" i="5"/>
  <c r="M24" i="5"/>
  <c r="G30" i="5"/>
  <c r="M15" i="5"/>
  <c r="V135" i="4"/>
  <c r="K24" i="5"/>
  <c r="K25" i="5"/>
  <c r="G4" i="5"/>
  <c r="K18" i="5"/>
  <c r="M23" i="5"/>
  <c r="M25" i="5"/>
  <c r="M7" i="5"/>
  <c r="K23" i="5"/>
  <c r="G7" i="5"/>
  <c r="V67" i="4"/>
  <c r="V108" i="4"/>
  <c r="K30" i="5"/>
  <c r="V239" i="4"/>
  <c r="M43" i="5"/>
  <c r="K3" i="5"/>
  <c r="V13" i="4"/>
  <c r="M8" i="5"/>
  <c r="M9" i="5"/>
  <c r="V64" i="4"/>
  <c r="K12" i="5"/>
  <c r="V122" i="4"/>
  <c r="M39" i="5"/>
  <c r="M45" i="5"/>
  <c r="G9" i="5"/>
  <c r="M3" i="5"/>
  <c r="V34" i="4"/>
  <c r="K8" i="5"/>
  <c r="K9" i="5"/>
  <c r="K10" i="5"/>
  <c r="G11" i="5"/>
  <c r="M16" i="5"/>
  <c r="K26" i="5"/>
  <c r="G29" i="5"/>
  <c r="V212" i="4"/>
  <c r="K38" i="5"/>
  <c r="K40" i="5"/>
  <c r="K42" i="5"/>
  <c r="K43" i="5"/>
  <c r="K47" i="5"/>
  <c r="K49" i="5"/>
  <c r="K50" i="5"/>
  <c r="K53" i="5"/>
  <c r="G12" i="5"/>
  <c r="M14" i="5"/>
  <c r="V106" i="4"/>
  <c r="G35" i="5"/>
  <c r="K27" i="5"/>
  <c r="G41" i="5"/>
  <c r="K13" i="5"/>
  <c r="K4" i="5"/>
  <c r="G13" i="5"/>
  <c r="M17" i="5"/>
  <c r="G43" i="5"/>
  <c r="K14" i="5"/>
  <c r="M19" i="5"/>
  <c r="V72" i="4"/>
  <c r="M21" i="5"/>
  <c r="V12" i="4"/>
  <c r="V17" i="4"/>
  <c r="V40" i="4"/>
  <c r="V60" i="4"/>
  <c r="M13" i="5"/>
  <c r="V107" i="4"/>
  <c r="V136" i="4"/>
  <c r="K33" i="5"/>
  <c r="V229" i="4"/>
  <c r="V248" i="4"/>
  <c r="M46" i="5"/>
  <c r="V326" i="4"/>
  <c r="V360" i="4"/>
  <c r="V353" i="4"/>
  <c r="V346" i="4"/>
  <c r="V339" i="4"/>
  <c r="V332" i="4"/>
  <c r="V325" i="4"/>
  <c r="V318" i="4"/>
  <c r="V362" i="4"/>
  <c r="V357" i="4"/>
  <c r="V352" i="4"/>
  <c r="V335" i="4"/>
  <c r="V330" i="4"/>
  <c r="V301" i="4"/>
  <c r="V294" i="4"/>
  <c r="V287" i="4"/>
  <c r="V280" i="4"/>
  <c r="V273" i="4"/>
  <c r="V266" i="4"/>
  <c r="V259" i="4"/>
  <c r="V252" i="4"/>
  <c r="V245" i="4"/>
  <c r="V238" i="4"/>
  <c r="V231" i="4"/>
  <c r="V224" i="4"/>
  <c r="V217" i="4"/>
  <c r="V210" i="4"/>
  <c r="V203" i="4"/>
  <c r="V196" i="4"/>
  <c r="V189" i="4"/>
  <c r="V182" i="4"/>
  <c r="V175" i="4"/>
  <c r="V168" i="4"/>
  <c r="V161" i="4"/>
  <c r="V154" i="4"/>
  <c r="V147" i="4"/>
  <c r="V140" i="4"/>
  <c r="V133" i="4"/>
  <c r="V126" i="4"/>
  <c r="V119" i="4"/>
  <c r="V112" i="4"/>
  <c r="V105" i="4"/>
  <c r="V98" i="4"/>
  <c r="V91" i="4"/>
  <c r="V84" i="4"/>
  <c r="V77" i="4"/>
  <c r="V70" i="4"/>
  <c r="V63" i="4"/>
  <c r="V56" i="4"/>
  <c r="V49" i="4"/>
  <c r="V42" i="4"/>
  <c r="V35" i="4"/>
  <c r="V28" i="4"/>
  <c r="V21" i="4"/>
  <c r="V14" i="4"/>
  <c r="V7" i="4"/>
  <c r="V361" i="4"/>
  <c r="V334" i="4"/>
  <c r="V312" i="4"/>
  <c r="V342" i="4"/>
  <c r="V337" i="4"/>
  <c r="V329" i="4"/>
  <c r="V314" i="4"/>
  <c r="V309" i="4"/>
  <c r="V304" i="4"/>
  <c r="V299" i="4"/>
  <c r="V282" i="4"/>
  <c r="V277" i="4"/>
  <c r="V272" i="4"/>
  <c r="V260" i="4"/>
  <c r="V255" i="4"/>
  <c r="V250" i="4"/>
  <c r="V233" i="4"/>
  <c r="V228" i="4"/>
  <c r="V223" i="4"/>
  <c r="V211" i="4"/>
  <c r="V206" i="4"/>
  <c r="V201" i="4"/>
  <c r="V184" i="4"/>
  <c r="V179" i="4"/>
  <c r="V174" i="4"/>
  <c r="V162" i="4"/>
  <c r="V157" i="4"/>
  <c r="V145" i="4"/>
  <c r="V114" i="4"/>
  <c r="V102" i="4"/>
  <c r="V365" i="4"/>
  <c r="V152" i="4"/>
  <c r="V121" i="4"/>
  <c r="V109" i="4"/>
  <c r="V97" i="4"/>
  <c r="V78" i="4"/>
  <c r="V66" i="4"/>
  <c r="V54" i="4"/>
  <c r="V23" i="4"/>
  <c r="V11" i="4"/>
  <c r="V4" i="4"/>
  <c r="V344" i="4"/>
  <c r="V321" i="4"/>
  <c r="V316" i="4"/>
  <c r="V311" i="4"/>
  <c r="V306" i="4"/>
  <c r="V289" i="4"/>
  <c r="V284" i="4"/>
  <c r="V279" i="4"/>
  <c r="V267" i="4"/>
  <c r="V262" i="4"/>
  <c r="V257" i="4"/>
  <c r="V240" i="4"/>
  <c r="V235" i="4"/>
  <c r="V230" i="4"/>
  <c r="V218" i="4"/>
  <c r="V213" i="4"/>
  <c r="V208" i="4"/>
  <c r="V191" i="4"/>
  <c r="V186" i="4"/>
  <c r="V181" i="4"/>
  <c r="V169" i="4"/>
  <c r="V164" i="4"/>
  <c r="V159" i="4"/>
  <c r="V128" i="4"/>
  <c r="V116" i="4"/>
  <c r="V104" i="4"/>
  <c r="V85" i="4"/>
  <c r="V73" i="4"/>
  <c r="V61" i="4"/>
  <c r="V30" i="4"/>
  <c r="V18" i="4"/>
  <c r="V6" i="4"/>
  <c r="V354" i="4"/>
  <c r="V331" i="4"/>
  <c r="V323" i="4"/>
  <c r="V296" i="4"/>
  <c r="V291" i="4"/>
  <c r="V286" i="4"/>
  <c r="V274" i="4"/>
  <c r="V269" i="4"/>
  <c r="V264" i="4"/>
  <c r="V247" i="4"/>
  <c r="V242" i="4"/>
  <c r="V237" i="4"/>
  <c r="V225" i="4"/>
  <c r="V220" i="4"/>
  <c r="V215" i="4"/>
  <c r="V198" i="4"/>
  <c r="V193" i="4"/>
  <c r="V188" i="4"/>
  <c r="V176" i="4"/>
  <c r="V171" i="4"/>
  <c r="V166" i="4"/>
  <c r="V142" i="4"/>
  <c r="V130" i="4"/>
  <c r="V118" i="4"/>
  <c r="V99" i="4"/>
  <c r="V87" i="4"/>
  <c r="V75" i="4"/>
  <c r="V44" i="4"/>
  <c r="V32" i="4"/>
  <c r="M5" i="5"/>
  <c r="V68" i="4"/>
  <c r="V81" i="4"/>
  <c r="V115" i="4"/>
  <c r="V123" i="4"/>
  <c r="V131" i="4"/>
  <c r="V149" i="4"/>
  <c r="V165" i="4"/>
  <c r="V173" i="4"/>
  <c r="V192" i="4"/>
  <c r="M30" i="5"/>
  <c r="V205" i="4"/>
  <c r="V232" i="4"/>
  <c r="M38" i="5"/>
  <c r="V275" i="4"/>
  <c r="G46" i="5"/>
  <c r="V315" i="4"/>
  <c r="M50" i="5"/>
  <c r="V340" i="4"/>
  <c r="V15" i="4"/>
  <c r="V20" i="4"/>
  <c r="V25" i="4"/>
  <c r="V43" i="4"/>
  <c r="V53" i="4"/>
  <c r="V58" i="4"/>
  <c r="V76" i="4"/>
  <c r="V89" i="4"/>
  <c r="V94" i="4"/>
  <c r="V110" i="4"/>
  <c r="G22" i="5"/>
  <c r="V144" i="4"/>
  <c r="V200" i="4"/>
  <c r="V216" i="4"/>
  <c r="V219" i="4"/>
  <c r="G36" i="5"/>
  <c r="V243" i="4"/>
  <c r="V256" i="4"/>
  <c r="V283" i="4"/>
  <c r="V307" i="4"/>
  <c r="G50" i="5"/>
  <c r="V351" i="4"/>
  <c r="V10" i="4"/>
  <c r="V33" i="4"/>
  <c r="V38" i="4"/>
  <c r="V48" i="4"/>
  <c r="V71" i="4"/>
  <c r="V134" i="4"/>
  <c r="V139" i="4"/>
  <c r="V227" i="4"/>
  <c r="V246" i="4"/>
  <c r="V251" i="4"/>
  <c r="V270" i="4"/>
  <c r="V302" i="4"/>
  <c r="V343" i="4"/>
  <c r="V5" i="4"/>
  <c r="M4" i="5"/>
  <c r="V79" i="4"/>
  <c r="V113" i="4"/>
  <c r="V129" i="4"/>
  <c r="V160" i="4"/>
  <c r="V187" i="4"/>
  <c r="V195" i="4"/>
  <c r="V278" i="4"/>
  <c r="V297" i="4"/>
  <c r="V310" i="4"/>
  <c r="G52" i="5"/>
  <c r="V363" i="4"/>
  <c r="U3" i="4"/>
  <c r="V8" i="4"/>
  <c r="G8" i="5"/>
  <c r="V46" i="4"/>
  <c r="V51" i="4"/>
  <c r="M12" i="5"/>
  <c r="V74" i="4"/>
  <c r="V92" i="4"/>
  <c r="V100" i="4"/>
  <c r="V155" i="4"/>
  <c r="V163" i="4"/>
  <c r="G28" i="5"/>
  <c r="V190" i="4"/>
  <c r="M32" i="5"/>
  <c r="V214" i="4"/>
  <c r="V222" i="4"/>
  <c r="V241" i="4"/>
  <c r="M37" i="5"/>
  <c r="V254" i="4"/>
  <c r="V281" i="4"/>
  <c r="V313" i="4"/>
  <c r="V324" i="4"/>
  <c r="V327" i="4"/>
  <c r="V338" i="4"/>
  <c r="V349" i="4"/>
  <c r="L2" i="5"/>
  <c r="G32" i="5"/>
  <c r="V249" i="4"/>
  <c r="V265" i="4"/>
  <c r="V292" i="4"/>
  <c r="G45" i="5"/>
  <c r="V305" i="4"/>
  <c r="F8" i="1"/>
  <c r="V137" i="4"/>
  <c r="V150" i="4"/>
  <c r="V268" i="4"/>
  <c r="V26" i="4"/>
  <c r="V82" i="4"/>
  <c r="G15" i="5"/>
  <c r="V95" i="4"/>
  <c r="G18" i="5"/>
  <c r="V132" i="4"/>
  <c r="K21" i="5"/>
  <c r="V177" i="4"/>
  <c r="M29" i="5"/>
  <c r="K32" i="5"/>
  <c r="K37" i="5"/>
  <c r="V276" i="4"/>
  <c r="V295" i="4"/>
  <c r="V300" i="4"/>
  <c r="K45" i="5"/>
  <c r="V319" i="4"/>
  <c r="M49" i="5"/>
  <c r="V333" i="4"/>
  <c r="V341" i="4"/>
  <c r="V355" i="4"/>
  <c r="V358" i="4"/>
  <c r="B9" i="1"/>
  <c r="G3" i="5"/>
  <c r="V16" i="4"/>
  <c r="V59" i="4"/>
  <c r="M11" i="5"/>
  <c r="V90" i="4"/>
  <c r="V103" i="4"/>
  <c r="V111" i="4"/>
  <c r="V127" i="4"/>
  <c r="V153" i="4"/>
  <c r="G24" i="5"/>
  <c r="V158" i="4"/>
  <c r="V185" i="4"/>
  <c r="V209" i="4"/>
  <c r="V236" i="4"/>
  <c r="V244" i="4"/>
  <c r="V308" i="4"/>
  <c r="G47" i="5"/>
  <c r="V322" i="4"/>
  <c r="G49" i="5"/>
  <c r="V336" i="4"/>
  <c r="V263" i="4"/>
  <c r="V271" i="4"/>
  <c r="V290" i="4"/>
  <c r="M44" i="5"/>
  <c r="V303" i="4"/>
  <c r="V347" i="4"/>
  <c r="M53" i="5"/>
  <c r="G2" i="5"/>
  <c r="V19" i="4"/>
  <c r="V24" i="4"/>
  <c r="V29" i="4"/>
  <c r="K7" i="5"/>
  <c r="V52" i="4"/>
  <c r="V57" i="4"/>
  <c r="V62" i="4"/>
  <c r="K11" i="5"/>
  <c r="V80" i="4"/>
  <c r="V88" i="4"/>
  <c r="V93" i="4"/>
  <c r="M20" i="5"/>
  <c r="V143" i="4"/>
  <c r="G27" i="5"/>
  <c r="V180" i="4"/>
  <c r="V199" i="4"/>
  <c r="V298" i="4"/>
  <c r="V328" i="4"/>
  <c r="G51" i="5"/>
  <c r="V350" i="4"/>
  <c r="V364" i="4"/>
  <c r="V9" i="4"/>
  <c r="V101" i="4"/>
  <c r="V117" i="4"/>
  <c r="V156" i="4"/>
  <c r="V183" i="4"/>
  <c r="K44" i="5"/>
  <c r="V317" i="4"/>
  <c r="K2" i="5"/>
  <c r="V47" i="4"/>
  <c r="G20" i="5"/>
  <c r="V138" i="4"/>
  <c r="M31" i="5"/>
  <c r="V226" i="4"/>
  <c r="M36" i="5"/>
  <c r="K39" i="5"/>
  <c r="K51" i="5"/>
  <c r="V37" i="4"/>
  <c r="M10" i="5"/>
  <c r="V65" i="4"/>
  <c r="V83" i="4"/>
  <c r="V125" i="4"/>
  <c r="G23" i="5"/>
  <c r="V151" i="4"/>
  <c r="V167" i="4"/>
  <c r="V170" i="4"/>
  <c r="V194" i="4"/>
  <c r="V207" i="4"/>
  <c r="V234" i="4"/>
  <c r="V258" i="4"/>
  <c r="V285" i="4"/>
  <c r="V293" i="4"/>
  <c r="V356" i="4"/>
  <c r="V22" i="4"/>
  <c r="V27" i="4"/>
  <c r="G6" i="5"/>
  <c r="V45" i="4"/>
  <c r="V50" i="4"/>
  <c r="V55" i="4"/>
  <c r="G10" i="5"/>
  <c r="V86" i="4"/>
  <c r="V96" i="4"/>
  <c r="V120" i="4"/>
  <c r="V141" i="4"/>
  <c r="V146" i="4"/>
  <c r="V178" i="4"/>
  <c r="V197" i="4"/>
  <c r="V202" i="4"/>
  <c r="K31" i="5"/>
  <c r="G33" i="5"/>
  <c r="V221" i="4"/>
  <c r="V253" i="4"/>
  <c r="V261" i="4"/>
  <c r="G42" i="5"/>
  <c r="V288" i="4"/>
  <c r="V320" i="4"/>
  <c r="V345" i="4"/>
  <c r="V359" i="4"/>
  <c r="K6" i="5"/>
  <c r="M18" i="5"/>
  <c r="K20" i="5"/>
  <c r="M28" i="5"/>
  <c r="K29" i="5"/>
  <c r="M35" i="5"/>
  <c r="K36" i="5"/>
  <c r="M42" i="5"/>
  <c r="M52" i="5"/>
  <c r="G17" i="5"/>
  <c r="K28" i="5"/>
  <c r="M34" i="5"/>
  <c r="K35" i="5"/>
  <c r="M41" i="5"/>
  <c r="M48" i="5"/>
  <c r="K52" i="5"/>
  <c r="G16" i="5"/>
  <c r="G44" i="5"/>
  <c r="G48" i="5"/>
  <c r="K16" i="5"/>
  <c r="M33" i="5"/>
  <c r="K34" i="5"/>
  <c r="M40" i="5"/>
  <c r="K41" i="5"/>
  <c r="M47" i="5"/>
  <c r="K48" i="5"/>
  <c r="M51" i="5"/>
  <c r="G25" i="5"/>
  <c r="G26" i="5"/>
  <c r="G34" i="5"/>
  <c r="G38" i="5"/>
  <c r="G39" i="5"/>
  <c r="G40" i="5"/>
  <c r="K46" i="5"/>
  <c r="G53" i="5"/>
  <c r="C5" i="5" l="1"/>
  <c r="D5" i="5" s="1"/>
  <c r="D22" i="1"/>
  <c r="D3" i="5"/>
  <c r="F7" i="1"/>
  <c r="C6" i="5"/>
  <c r="D23" i="1" l="1"/>
  <c r="D6" i="5"/>
  <c r="C7" i="5"/>
  <c r="D24" i="1" l="1"/>
  <c r="D7" i="5"/>
  <c r="C8" i="5"/>
  <c r="D25" i="1" l="1"/>
  <c r="D8" i="5"/>
  <c r="C9" i="5"/>
  <c r="C10" i="5" l="1"/>
  <c r="D9" i="5"/>
  <c r="C11" i="5" l="1"/>
  <c r="D10" i="5"/>
  <c r="C12" i="5" l="1"/>
  <c r="D11" i="5"/>
  <c r="C13" i="5" l="1"/>
  <c r="D12" i="5"/>
  <c r="C14" i="5" l="1"/>
  <c r="D13" i="5"/>
  <c r="C15" i="5" l="1"/>
  <c r="D14" i="5"/>
  <c r="C16" i="5" l="1"/>
  <c r="D15" i="5"/>
  <c r="D16" i="5" l="1"/>
  <c r="C17" i="5"/>
  <c r="D17" i="5" l="1"/>
  <c r="C18" i="5"/>
  <c r="D18" i="5" l="1"/>
  <c r="C19" i="5"/>
  <c r="D19" i="5" l="1"/>
  <c r="C20" i="5"/>
  <c r="D20" i="5" l="1"/>
  <c r="C21" i="5"/>
  <c r="C22" i="5" l="1"/>
  <c r="D21" i="5"/>
  <c r="C23" i="5" l="1"/>
  <c r="D22" i="5"/>
  <c r="C24" i="5" l="1"/>
  <c r="D23" i="5"/>
  <c r="D24" i="5" l="1"/>
  <c r="C25" i="5"/>
  <c r="D25" i="5" l="1"/>
  <c r="C26" i="5"/>
  <c r="D26" i="5" l="1"/>
  <c r="C27" i="5"/>
  <c r="C28" i="5" l="1"/>
  <c r="D27" i="5"/>
  <c r="C29" i="5" l="1"/>
  <c r="D28" i="5"/>
  <c r="C30" i="5" l="1"/>
  <c r="D29" i="5"/>
  <c r="C31" i="5" l="1"/>
  <c r="D30" i="5"/>
  <c r="C32" i="5" l="1"/>
  <c r="D31" i="5"/>
  <c r="D32" i="5" l="1"/>
  <c r="C33" i="5"/>
  <c r="D33" i="5" l="1"/>
  <c r="C34" i="5"/>
  <c r="D34" i="5" l="1"/>
  <c r="C35" i="5"/>
  <c r="C36" i="5" l="1"/>
  <c r="D35" i="5"/>
  <c r="C37" i="5" l="1"/>
  <c r="D36" i="5"/>
  <c r="C38" i="5" l="1"/>
  <c r="D37" i="5"/>
  <c r="C39" i="5" l="1"/>
  <c r="D38" i="5"/>
  <c r="C40" i="5" l="1"/>
  <c r="D39" i="5"/>
  <c r="D40" i="5" l="1"/>
  <c r="C41" i="5"/>
  <c r="C42" i="5" l="1"/>
  <c r="D41" i="5"/>
  <c r="C43" i="5" l="1"/>
  <c r="D42" i="5"/>
  <c r="C44" i="5" l="1"/>
  <c r="D43" i="5"/>
  <c r="D44" i="5" l="1"/>
  <c r="C45" i="5"/>
  <c r="D45" i="5" l="1"/>
  <c r="C46" i="5"/>
  <c r="D46" i="5" l="1"/>
  <c r="C47" i="5"/>
  <c r="D47" i="5" l="1"/>
  <c r="C48" i="5"/>
  <c r="D48" i="5" l="1"/>
  <c r="C49" i="5"/>
  <c r="C50" i="5" l="1"/>
  <c r="D49" i="5"/>
  <c r="D50" i="5" l="1"/>
  <c r="C51" i="5"/>
  <c r="C52" i="5" l="1"/>
  <c r="D51" i="5"/>
  <c r="C53" i="5" l="1"/>
  <c r="D53" i="5" s="1"/>
  <c r="D52" i="5"/>
</calcChain>
</file>

<file path=xl/sharedStrings.xml><?xml version="1.0" encoding="utf-8"?>
<sst xmlns="http://schemas.openxmlformats.org/spreadsheetml/2006/main" count="2139" uniqueCount="233">
  <si>
    <t>Week</t>
  </si>
  <si>
    <t>Phase</t>
  </si>
  <si>
    <t>Date</t>
  </si>
  <si>
    <t>Day</t>
  </si>
  <si>
    <t>Tonal Min</t>
  </si>
  <si>
    <t>Cardio Mode</t>
  </si>
  <si>
    <t>Cardio Detail</t>
  </si>
  <si>
    <t>Cardio Min</t>
  </si>
  <si>
    <t>Planned Miles</t>
  </si>
  <si>
    <t>Primary Goal</t>
  </si>
  <si>
    <t>Status</t>
  </si>
  <si>
    <t>Actual Tonal Min</t>
  </si>
  <si>
    <t>Actual Cardio Min</t>
  </si>
  <si>
    <t>Actual Miles</t>
  </si>
  <si>
    <t>RPE</t>
  </si>
  <si>
    <t>Notes</t>
  </si>
  <si>
    <t>Completion Score</t>
  </si>
  <si>
    <t>Planned Total Min</t>
  </si>
  <si>
    <t>Actual Total Min</t>
  </si>
  <si>
    <t>Miles Delta</t>
  </si>
  <si>
    <t>Total Delta</t>
  </si>
  <si>
    <t>Foundation Build</t>
  </si>
  <si>
    <t>Sun</t>
  </si>
  <si>
    <t>Peloton Bike</t>
  </si>
  <si>
    <t>Easy aerobic ride</t>
  </si>
  <si>
    <t>Aerobic Base</t>
  </si>
  <si>
    <t>Done</t>
  </si>
  <si>
    <t>Mon</t>
  </si>
  <si>
    <t>Peloton Tread</t>
  </si>
  <si>
    <t>Walk, slight incline, smooth cadence</t>
  </si>
  <si>
    <t>Time on Feet</t>
  </si>
  <si>
    <t>Tue</t>
  </si>
  <si>
    <t>Peloton Row</t>
  </si>
  <si>
    <t>Steady easy row</t>
  </si>
  <si>
    <t>Durability</t>
  </si>
  <si>
    <t>Wed</t>
  </si>
  <si>
    <t>Walk, slight incline, quick feet</t>
  </si>
  <si>
    <t>Thu</t>
  </si>
  <si>
    <t>Recovery ride, low resistance</t>
  </si>
  <si>
    <t>Recovery</t>
  </si>
  <si>
    <t>Fri</t>
  </si>
  <si>
    <t>Off / Easy Walk</t>
  </si>
  <si>
    <t>Optional 20 min easy walk and stretch</t>
  </si>
  <si>
    <t>Rest</t>
  </si>
  <si>
    <t>Sat</t>
  </si>
  <si>
    <t>Tread / Outdoor Walk</t>
  </si>
  <si>
    <t>Long easy walk; stay fully conversational</t>
  </si>
  <si>
    <t>Long Session</t>
  </si>
  <si>
    <t>Off / Rest</t>
  </si>
  <si>
    <t>Rest day</t>
  </si>
  <si>
    <t>Skipped</t>
  </si>
  <si>
    <t>Full rest day</t>
  </si>
  <si>
    <t>Workout / quality walk-run</t>
  </si>
  <si>
    <t>Workout</t>
  </si>
  <si>
    <t>Steady aerobic row</t>
  </si>
  <si>
    <t>Aerobic</t>
  </si>
  <si>
    <t>Steady run / walk</t>
  </si>
  <si>
    <t>Easy spin + strength focus</t>
  </si>
  <si>
    <t>Strength</t>
  </si>
  <si>
    <t>Easy shakeout walk</t>
  </si>
  <si>
    <t>Aerobic / Shakeout</t>
  </si>
  <si>
    <t>Cadence intervals, smooth and controlled</t>
  </si>
  <si>
    <t>Easy run with smooth cadence</t>
  </si>
  <si>
    <t>Short aerobic row + strength focus</t>
  </si>
  <si>
    <t>Easy walk + short strides</t>
  </si>
  <si>
    <t>Long steady walk; build time on feet</t>
  </si>
  <si>
    <t>Power strokes with easy recoveries</t>
  </si>
  <si>
    <t>Endurance row, smooth cadence</t>
  </si>
  <si>
    <t>Controlled endurance run / walk</t>
  </si>
  <si>
    <t>Low-impact aerobic spin + strength focus</t>
  </si>
  <si>
    <t>Easy jog-walk shakeout</t>
  </si>
  <si>
    <t>Tempo-style walk-run</t>
  </si>
  <si>
    <t>Low-impact aerobic spin</t>
  </si>
  <si>
    <t>Short aerobic run / walk</t>
  </si>
  <si>
    <t>Technique row + strength focus</t>
  </si>
  <si>
    <t>Relaxed shakeout walk</t>
  </si>
  <si>
    <t>Long endurance walk; smooth cadence throughout</t>
  </si>
  <si>
    <t>Intro Run/Walk</t>
  </si>
  <si>
    <t>Tread / Outdoor Run-Walk</t>
  </si>
  <si>
    <t>Long run/walk; keep jog intervals short and easy</t>
  </si>
  <si>
    <t>Long Run/Walk</t>
  </si>
  <si>
    <t>Long run/walk; build running time, not pace</t>
  </si>
  <si>
    <t>Running Base</t>
  </si>
  <si>
    <t>Long easy run/walk; smooth relaxed effort</t>
  </si>
  <si>
    <t>Long easy run/walk; extend the run segments</t>
  </si>
  <si>
    <t>Tread / Outdoor Run</t>
  </si>
  <si>
    <t>Long easy run; stay patient and conversational</t>
  </si>
  <si>
    <t>Long Run</t>
  </si>
  <si>
    <t>Half-Marathon Fitness</t>
  </si>
  <si>
    <t>Long run; easy aerobic effort</t>
  </si>
  <si>
    <t>Cutback long run; relaxed aerobic effort</t>
  </si>
  <si>
    <t>Long run; steady effort with fueling practice</t>
  </si>
  <si>
    <t>Marathon Build</t>
  </si>
  <si>
    <t>Long run; relaxed aerobic effort</t>
  </si>
  <si>
    <t>Long run + fueling practice; relaxed early, steady late</t>
  </si>
  <si>
    <t>Cutback long run; easy effort, stay fresh</t>
  </si>
  <si>
    <t>Taper + Race</t>
  </si>
  <si>
    <t>Reduced long run; keep the effort easy</t>
  </si>
  <si>
    <t>Freshness</t>
  </si>
  <si>
    <t>Taper long run; short and easy</t>
  </si>
  <si>
    <t>Easy shakeout run; keep legs fresh</t>
  </si>
  <si>
    <t>Marathon Command Center</t>
  </si>
  <si>
    <t>12-month Tonal + Peloton build with body measurement tracking</t>
  </si>
  <si>
    <t>Plan Snapshot</t>
  </si>
  <si>
    <t>Tracking Snapshot</t>
  </si>
  <si>
    <t>Start date</t>
  </si>
  <si>
    <t>Workouts marked done</t>
  </si>
  <si>
    <t>Race date</t>
  </si>
  <si>
    <t>Completion score avg</t>
  </si>
  <si>
    <t>Weeks in plan</t>
  </si>
  <si>
    <t>Actual miles logged</t>
  </si>
  <si>
    <t>Longest scheduled run</t>
  </si>
  <si>
    <t>Check-ins logged</t>
  </si>
  <si>
    <t>Peak planned weekly miles</t>
  </si>
  <si>
    <t>Body tracker ready?</t>
  </si>
  <si>
    <t>Yes — baseline row is Week 1</t>
  </si>
  <si>
    <t>Weekly measurement check-ins</t>
  </si>
  <si>
    <t>Race week loaded?</t>
  </si>
  <si>
    <t>Yes — Week 52 is prebuilt</t>
  </si>
  <si>
    <t>Personal Guardrails</t>
  </si>
  <si>
    <t>1. Get fitted for a stability shoe and replace shoes every 350-450 miles.</t>
  </si>
  <si>
    <t>2. Keep all easy sessions conversational; do not chase pace in the first 24 weeks.</t>
  </si>
  <si>
    <t>3. Add short-foot holds, calf raises, and tibialis raises 3x/week for low arches.</t>
  </si>
  <si>
    <t>4. If shin / arch / inside-ankle pain rises above a 3, swap the next run for bike or row.</t>
  </si>
  <si>
    <t>Upcoming Milestones</t>
  </si>
  <si>
    <t>Month</t>
  </si>
  <si>
    <t>Goal</t>
  </si>
  <si>
    <t>Weight target</t>
  </si>
  <si>
    <t>Long run</t>
  </si>
  <si>
    <t>Controls + Setup</t>
  </si>
  <si>
    <t>Editable inputs are blue; formulas and schedule logic are already wired</t>
  </si>
  <si>
    <t>Core Inputs</t>
  </si>
  <si>
    <t>Training Phases</t>
  </si>
  <si>
    <t>Plan start date</t>
  </si>
  <si>
    <t>Weeks 1-8</t>
  </si>
  <si>
    <t>Daily Tonal habit + low-impact cardio</t>
  </si>
  <si>
    <t>Protect joints and drop early weight</t>
  </si>
  <si>
    <t>Weeks 9-12</t>
  </si>
  <si>
    <t>Two tread run/walk sessions weekly</t>
  </si>
  <si>
    <t>Teach mechanics without overloading arches</t>
  </si>
  <si>
    <t>Starting weight (lb)</t>
  </si>
  <si>
    <t>Weeks 13-24</t>
  </si>
  <si>
    <t>Build to 8-mile long run</t>
  </si>
  <si>
    <t>First nonstop mile; then 5K and beyond</t>
  </si>
  <si>
    <t>Goal weight by race week</t>
  </si>
  <si>
    <t>Weeks 25-36</t>
  </si>
  <si>
    <t>Four run touches per week</t>
  </si>
  <si>
    <t>Regular running identity; 13-mile long run</t>
  </si>
  <si>
    <t>Primary goal</t>
  </si>
  <si>
    <t>Finish strong and healthy</t>
  </si>
  <si>
    <t>Weeks 37-48</t>
  </si>
  <si>
    <t>Long runs up to 20</t>
  </si>
  <si>
    <t>Fueling, durability, and recovery discipline</t>
  </si>
  <si>
    <t>Tonal daily, Peloton bike/row/tread available, low arches</t>
  </si>
  <si>
    <t>Weeks 49-52</t>
  </si>
  <si>
    <t>Freshen up, sharpen, race</t>
  </si>
  <si>
    <t>Protect energy and trust the work</t>
  </si>
  <si>
    <t>Flat-foot / low-arch support checklist</t>
  </si>
  <si>
    <t>Use a stability shoe and keep laces snug through the midfoot.</t>
  </si>
  <si>
    <t>Short-foot holds: 2 sets of 10 x 10-second holds, 3x/week.</t>
  </si>
  <si>
    <t>Single-leg calf raises: 3 x 12 each side, 3x/week.</t>
  </si>
  <si>
    <t>Tibialis raises: 3 x 15, 3x/week.</t>
  </si>
  <si>
    <t>If morning heel pain or inside-ankle pain shows up, swap the next run for bike or row.</t>
  </si>
  <si>
    <t>Monthly Milestones</t>
  </si>
  <si>
    <t>Strict checkpoints to keep the year on rails</t>
  </si>
  <si>
    <t>Checkpoint date</t>
  </si>
  <si>
    <t>Long run target</t>
  </si>
  <si>
    <t>Benchmark</t>
  </si>
  <si>
    <t>Tonal emphasis</t>
  </si>
  <si>
    <t>Lock in 5-6 training days each week</t>
  </si>
  <si>
    <t>Complete 55 min walk comfortably</t>
  </si>
  <si>
    <t>Core + mobility</t>
  </si>
  <si>
    <t>Own 75 min of easy cardio</t>
  </si>
  <si>
    <t>No missed weeks; feet feel good</t>
  </si>
  <si>
    <t>Posterior chain + footwork</t>
  </si>
  <si>
    <t>Start run/walk without panic breathing</t>
  </si>
  <si>
    <t>Finish 2:2 intervals smoothly</t>
  </si>
  <si>
    <t>Core stability</t>
  </si>
  <si>
    <t>Long run reaches 4 miles</t>
  </si>
  <si>
    <t>Run-walk mechanics feel natural</t>
  </si>
  <si>
    <t>Light lower body + ankles</t>
  </si>
  <si>
    <t>Run first nonstop mile</t>
  </si>
  <si>
    <t>One mile continuous on tread</t>
  </si>
  <si>
    <t>Posterior chain</t>
  </si>
  <si>
    <t>Long run reaches 8 miles</t>
  </si>
  <si>
    <t>5K feels controlled</t>
  </si>
  <si>
    <t>Core + anti-rotation</t>
  </si>
  <si>
    <t>Consistent 3-4 run touches weekly</t>
  </si>
  <si>
    <t>10K completed or simulated</t>
  </si>
  <si>
    <t>Split squats + calves</t>
  </si>
  <si>
    <t>Half-marathon fitness arrives</t>
  </si>
  <si>
    <t>13-mile long run complete</t>
  </si>
  <si>
    <t>Mobility + durability</t>
  </si>
  <si>
    <t>Fueling and recovery become automatic</t>
  </si>
  <si>
    <t>No blown-up long runs</t>
  </si>
  <si>
    <t>Upper body only + maintenance</t>
  </si>
  <si>
    <t>18-mile run done</t>
  </si>
  <si>
    <t>Weekend fueling rehearsed</t>
  </si>
  <si>
    <t>Light maintenance</t>
  </si>
  <si>
    <t>20-mile peak completed</t>
  </si>
  <si>
    <t>Confidence week: peak is in the bank</t>
  </si>
  <si>
    <t>Mobility and freshness</t>
  </si>
  <si>
    <t>Taper cleanly and race healthy</t>
  </si>
  <si>
    <t>Marathon finish</t>
  </si>
  <si>
    <t>Minimal maintenance</t>
  </si>
  <si>
    <t>Start Date</t>
  </si>
  <si>
    <t>End Date</t>
  </si>
  <si>
    <t>Planned Tonal</t>
  </si>
  <si>
    <t>Planned Cardio</t>
  </si>
  <si>
    <t>Planned Total</t>
  </si>
  <si>
    <t>Actual Tonal</t>
  </si>
  <si>
    <t>Actual Cardio</t>
  </si>
  <si>
    <t>Actual Total</t>
  </si>
  <si>
    <t>Completion %</t>
  </si>
  <si>
    <t>Long Run Target</t>
  </si>
  <si>
    <t>Weight</t>
  </si>
  <si>
    <t>Belly</t>
  </si>
  <si>
    <t>Chest</t>
  </si>
  <si>
    <t>Body Measurement Tracker</t>
  </si>
  <si>
    <t>Weekly check-ins: weight, arms, legs, belly, and chest</t>
  </si>
  <si>
    <t>Check-in Date</t>
  </si>
  <si>
    <t>Weight (lb)</t>
  </si>
  <si>
    <t>L Arm</t>
  </si>
  <si>
    <t>R Arm</t>
  </si>
  <si>
    <t>L Leg</t>
  </si>
  <si>
    <t>R Leg</t>
  </si>
  <si>
    <t>Avg Arm</t>
  </si>
  <si>
    <t>Avg Leg</t>
  </si>
  <si>
    <t>Weight vs Start</t>
  </si>
  <si>
    <t>Belly vs Start</t>
  </si>
  <si>
    <t>Chest vs Start</t>
  </si>
  <si>
    <t>Baseline week — enter starting measurements here.</t>
  </si>
  <si>
    <t>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</si>
</sst>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22"/>
      <color rgb="FFFFFFFF"/>
      <name val="Aptos"/>
    </font>
    <font>
      <i/>
      <sz val="11"/>
      <color rgb="FFDCE6F1"/>
      <name val="Aptos"/>
    </font>
    <font>
      <b/>
      <sz val="12"/>
      <color rgb="FFFFFFFF"/>
      <name val="Aptos"/>
    </font>
    <font>
      <b/>
      <sz val="10"/>
      <color rgb="FF243B53"/>
      <name val="Aptos"/>
    </font>
    <font>
      <sz val="10"/>
      <color rgb="FF0000FF"/>
      <name val="Aptos"/>
    </font>
    <font>
      <sz val="10"/>
      <color rgb="FF243B53"/>
      <name val="Aptos"/>
    </font>
    <font>
      <sz val="9"/>
      <color rgb="FF243B53"/>
      <name val="Aptos"/>
    </font>
    <font>
      <b/>
      <sz val="10"/>
      <color rgb="FFFFFFFF"/>
      <name val="Aptos"/>
    </font>
    <font>
      <sz val="10"/>
      <color rgb="FF666666"/>
      <name val="Aptos"/>
    </font>
  </fonts>
  <fills count="10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8FBFD"/>
      </patternFill>
    </fill>
    <fill>
      <patternFill patternType="solid">
        <fgColor rgb="FFEAF2FF"/>
      </patternFill>
    </fill>
    <fill>
      <patternFill patternType="solid">
        <fgColor rgb="FFF6F1E9"/>
      </patternFill>
    </fill>
    <fill>
      <patternFill patternType="solid">
        <fgColor rgb="FF2A9D8F"/>
      </patternFill>
    </fill>
    <fill>
      <patternFill patternType="solid">
        <fgColor rgb="FFF4A261"/>
      </patternFill>
    </fill>
    <fill>
      <patternFill patternType="solid">
        <fgColor rgb="FFFCF3CF"/>
      </patternFill>
    </fill>
    <fill>
      <patternFill patternType="solid">
        <fgColor rgb="FFEDF2F7"/>
      </patternFill>
    </fill>
  </fills>
  <borders count="11">
    <border>
      <left/>
      <right/>
      <top/>
      <bottom/>
      <diagonal/>
    </border>
    <border>
      <left style="thin">
        <color rgb="FFC7D0D9"/>
      </left>
      <right style="thin">
        <color rgb="FFC7D0D9"/>
      </right>
      <top style="thin">
        <color rgb="FFC7D0D9"/>
      </top>
      <bottom style="thin">
        <color rgb="FFC7D0D9"/>
      </bottom>
      <diagonal/>
    </border>
    <border>
      <left/>
      <right/>
      <top style="thin">
        <color rgb="FFC7D0D9"/>
      </top>
      <bottom style="thin">
        <color rgb="FFC7D0D9"/>
      </bottom>
      <diagonal/>
    </border>
    <border>
      <left/>
      <right style="thin">
        <color rgb="FFC7D0D9"/>
      </right>
      <top style="thin">
        <color rgb="FFC7D0D9"/>
      </top>
      <bottom style="thin">
        <color rgb="FFC7D0D9"/>
      </bottom>
      <diagonal/>
    </border>
    <border>
      <left/>
      <right style="thin">
        <color rgb="FFC7D0D9"/>
      </right>
      <top style="thin">
        <color rgb="FFC7D0D9"/>
      </top>
      <bottom/>
      <diagonal/>
    </border>
    <border>
      <left style="thin">
        <color rgb="FFC7D0D9"/>
      </left>
      <right/>
      <top style="thin">
        <color rgb="FFC7D0D9"/>
      </top>
      <bottom style="thin">
        <color rgb="FFC7D0D9"/>
      </bottom>
      <diagonal/>
    </border>
    <border>
      <left/>
      <right style="thin">
        <color rgb="FFC7D0D9"/>
      </right>
      <top/>
      <bottom style="thin">
        <color rgb="FFC7D0D9"/>
      </bottom>
      <diagonal/>
    </border>
    <border>
      <left style="thin">
        <color rgb="FFC7D0D9"/>
      </left>
      <right style="thin">
        <color rgb="FFC7D0D9"/>
      </right>
      <top/>
      <bottom style="thin">
        <color rgb="FFC7D0D9"/>
      </bottom>
      <diagonal/>
    </border>
    <border>
      <left style="thin">
        <color rgb="FFC7D0D9"/>
      </left>
      <right/>
      <top/>
      <bottom style="thin">
        <color rgb="FFC7D0D9"/>
      </bottom>
      <diagonal/>
    </border>
    <border>
      <left style="thin">
        <color rgb="FFC7D0D9"/>
      </left>
      <right style="thin">
        <color rgb="FFC7D0D9"/>
      </right>
      <top style="thin">
        <color rgb="FFC7D0D9"/>
      </top>
      <bottom/>
      <diagonal/>
    </border>
    <border>
      <left style="thin">
        <color rgb="FFC7D0D9"/>
      </left>
      <right/>
      <top style="thin">
        <color rgb="FFC7D0D9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3" borderId="1" xfId="0" applyFont="1" applyFill="1" applyBorder="1"/>
    <xf numFmtId="164" fontId="6" fillId="5" borderId="1" xfId="0" applyNumberFormat="1" applyFont="1" applyFill="1" applyBorder="1"/>
    <xf numFmtId="0" fontId="6" fillId="5" borderId="1" xfId="0" applyFont="1" applyFill="1" applyBorder="1"/>
    <xf numFmtId="9" fontId="6" fillId="5" borderId="1" xfId="0" applyNumberFormat="1" applyFont="1" applyFill="1" applyBorder="1"/>
    <xf numFmtId="165" fontId="6" fillId="5" borderId="1" xfId="0" applyNumberFormat="1" applyFont="1" applyFill="1" applyBorder="1"/>
    <xf numFmtId="0" fontId="8" fillId="6" borderId="1" xfId="0" applyFont="1" applyFill="1" applyBorder="1" applyAlignment="1">
      <alignment horizontal="center"/>
    </xf>
    <xf numFmtId="0" fontId="7" fillId="3" borderId="1" xfId="0" applyFont="1" applyFill="1" applyBorder="1"/>
    <xf numFmtId="164" fontId="7" fillId="3" borderId="1" xfId="0" applyNumberFormat="1" applyFont="1" applyFill="1" applyBorder="1"/>
    <xf numFmtId="165" fontId="7" fillId="3" borderId="1" xfId="0" applyNumberFormat="1" applyFont="1" applyFill="1" applyBorder="1"/>
    <xf numFmtId="164" fontId="5" fillId="4" borderId="1" xfId="0" applyNumberFormat="1" applyFont="1" applyFill="1" applyBorder="1"/>
    <xf numFmtId="0" fontId="7" fillId="3" borderId="1" xfId="0" applyFont="1" applyFill="1" applyBorder="1" applyAlignment="1">
      <alignment wrapText="1"/>
    </xf>
    <xf numFmtId="0" fontId="5" fillId="4" borderId="1" xfId="0" applyFont="1" applyFill="1" applyBorder="1"/>
    <xf numFmtId="0" fontId="7" fillId="8" borderId="1" xfId="0" applyFont="1" applyFill="1" applyBorder="1"/>
    <xf numFmtId="0" fontId="8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165" fontId="6" fillId="3" borderId="1" xfId="0" applyNumberFormat="1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164" fontId="6" fillId="5" borderId="1" xfId="0" applyNumberFormat="1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165" fontId="6" fillId="5" borderId="1" xfId="0" applyNumberFormat="1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164" fontId="6" fillId="3" borderId="1" xfId="0" applyNumberFormat="1" applyFont="1" applyFill="1" applyBorder="1"/>
    <xf numFmtId="1" fontId="6" fillId="3" borderId="1" xfId="0" applyNumberFormat="1" applyFont="1" applyFill="1" applyBorder="1"/>
    <xf numFmtId="165" fontId="6" fillId="3" borderId="1" xfId="0" applyNumberFormat="1" applyFont="1" applyFill="1" applyBorder="1"/>
    <xf numFmtId="165" fontId="5" fillId="4" borderId="1" xfId="0" applyNumberFormat="1" applyFont="1" applyFill="1" applyBorder="1"/>
    <xf numFmtId="165" fontId="9" fillId="9" borderId="1" xfId="0" applyNumberFormat="1" applyFont="1" applyFill="1" applyBorder="1"/>
    <xf numFmtId="1" fontId="6" fillId="5" borderId="1" xfId="0" applyNumberFormat="1" applyFont="1" applyFill="1" applyBorder="1"/>
    <xf numFmtId="9" fontId="6" fillId="3" borderId="1" xfId="0" applyNumberFormat="1" applyFont="1" applyFill="1" applyBorder="1"/>
    <xf numFmtId="0" fontId="8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5" fontId="9" fillId="0" borderId="5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65" fontId="6" fillId="0" borderId="9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5" fontId="9" fillId="0" borderId="9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65" fontId="9" fillId="0" borderId="10" xfId="0" applyNumberFormat="1" applyFont="1" applyBorder="1" applyAlignment="1">
      <alignment horizontal="center"/>
    </xf>
    <xf numFmtId="2" fontId="6" fillId="3" borderId="1" xfId="0" applyNumberFormat="1" applyFont="1" applyFill="1" applyBorder="1" applyAlignment="1">
      <alignment vertical="top" wrapText="1"/>
    </xf>
    <xf numFmtId="2" fontId="6" fillId="5" borderId="1" xfId="0" applyNumberFormat="1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6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wrapText="1"/>
    </xf>
    <xf numFmtId="0" fontId="0" fillId="0" borderId="2" xfId="0" applyBorder="1"/>
    <xf numFmtId="0" fontId="0" fillId="0" borderId="3" xfId="0" applyBorder="1"/>
    <xf numFmtId="0" fontId="7" fillId="8" borderId="1" xfId="0" applyFont="1" applyFill="1" applyBorder="1"/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/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pto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pto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ptos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ptos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ptos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numFmt numFmtId="164" formatCode="mmm\ d\,\ yyyy"/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 style="thin">
          <color rgb="FFC7D0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C7D0D9"/>
        </right>
        <top style="thin">
          <color rgb="FFC7D0D9"/>
        </top>
        <bottom/>
      </border>
    </dxf>
    <dxf>
      <fill>
        <patternFill patternType="solid">
          <fgColor rgb="FFEDF2F7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FCF3CF"/>
        </patternFill>
      </fill>
    </dxf>
    <dxf>
      <fill>
        <patternFill patternType="solid">
          <fgColor rgb="FFD5F5E3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/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666666"/>
        <name val="Aptos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pto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pto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ptos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pto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pto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numFmt numFmtId="164" formatCode="mmm\ d\,\ 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B53"/>
        <name val="Apto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C7D0D9"/>
        </right>
        <top style="thin">
          <color rgb="FFC7D0D9"/>
        </top>
        <bottom style="thin">
          <color rgb="FFC7D0D9"/>
        </bottom>
        <vertical/>
        <horizontal/>
      </border>
    </dxf>
    <dxf>
      <border outline="0">
        <top style="thin">
          <color rgb="FFC7D0D9"/>
        </top>
      </border>
    </dxf>
    <dxf>
      <border outline="0">
        <left style="thin">
          <color rgb="FFC7D0D9"/>
        </left>
        <right style="thin">
          <color rgb="FFC7D0D9"/>
        </right>
        <top style="thin">
          <color rgb="FFC7D0D9"/>
        </top>
        <bottom style="thin">
          <color rgb="FFC7D0D9"/>
        </bottom>
      </border>
    </dxf>
    <dxf>
      <border outline="0">
        <bottom style="thin">
          <color rgb="FFC7D0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7D0D9"/>
        </left>
        <right style="thin">
          <color rgb="FFC7D0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Weekly miles: planned vs actual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'Weekly Summary'!$H$1</c:f>
              <c:strCache>
                <c:ptCount val="1"/>
                <c:pt idx="0">
                  <c:v>Planned Miles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'Weekly Summary'!$A$2:$A$53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'Weekly Summary'!$H$2:$H$53</c:f>
              <c:numCache>
                <c:formatCode>0.0</c:formatCode>
                <c:ptCount val="52"/>
                <c:pt idx="0">
                  <c:v>5.8</c:v>
                </c:pt>
                <c:pt idx="1">
                  <c:v>5.4</c:v>
                </c:pt>
                <c:pt idx="2">
                  <c:v>4.7</c:v>
                </c:pt>
                <c:pt idx="3">
                  <c:v>5.3000000000000007</c:v>
                </c:pt>
                <c:pt idx="4">
                  <c:v>7.8</c:v>
                </c:pt>
                <c:pt idx="5">
                  <c:v>6.8</c:v>
                </c:pt>
                <c:pt idx="6">
                  <c:v>7.9</c:v>
                </c:pt>
                <c:pt idx="7">
                  <c:v>7.7</c:v>
                </c:pt>
                <c:pt idx="8">
                  <c:v>7.8000000000000007</c:v>
                </c:pt>
                <c:pt idx="9">
                  <c:v>10.199999999999999</c:v>
                </c:pt>
                <c:pt idx="10">
                  <c:v>10.5</c:v>
                </c:pt>
                <c:pt idx="11">
                  <c:v>9.1999999999999993</c:v>
                </c:pt>
                <c:pt idx="12">
                  <c:v>7.2</c:v>
                </c:pt>
                <c:pt idx="13">
                  <c:v>9.7999999999999989</c:v>
                </c:pt>
                <c:pt idx="14">
                  <c:v>10.299999999999999</c:v>
                </c:pt>
                <c:pt idx="15">
                  <c:v>9</c:v>
                </c:pt>
                <c:pt idx="16">
                  <c:v>9.1999999999999993</c:v>
                </c:pt>
                <c:pt idx="17">
                  <c:v>12.5</c:v>
                </c:pt>
                <c:pt idx="18">
                  <c:v>12.7</c:v>
                </c:pt>
                <c:pt idx="19">
                  <c:v>12.2</c:v>
                </c:pt>
                <c:pt idx="20">
                  <c:v>11.7</c:v>
                </c:pt>
                <c:pt idx="21">
                  <c:v>15</c:v>
                </c:pt>
                <c:pt idx="22">
                  <c:v>15.2</c:v>
                </c:pt>
                <c:pt idx="23">
                  <c:v>14.7</c:v>
                </c:pt>
                <c:pt idx="24">
                  <c:v>13.5</c:v>
                </c:pt>
                <c:pt idx="25">
                  <c:v>16.3</c:v>
                </c:pt>
                <c:pt idx="26">
                  <c:v>18</c:v>
                </c:pt>
                <c:pt idx="27">
                  <c:v>12.5</c:v>
                </c:pt>
                <c:pt idx="28">
                  <c:v>16.5</c:v>
                </c:pt>
                <c:pt idx="29">
                  <c:v>19.3</c:v>
                </c:pt>
                <c:pt idx="30">
                  <c:v>21</c:v>
                </c:pt>
                <c:pt idx="31">
                  <c:v>13.5</c:v>
                </c:pt>
                <c:pt idx="32">
                  <c:v>19.5</c:v>
                </c:pt>
                <c:pt idx="33">
                  <c:v>22.3</c:v>
                </c:pt>
                <c:pt idx="34">
                  <c:v>18</c:v>
                </c:pt>
                <c:pt idx="35">
                  <c:v>20.5</c:v>
                </c:pt>
                <c:pt idx="36">
                  <c:v>21.5</c:v>
                </c:pt>
                <c:pt idx="37">
                  <c:v>24.3</c:v>
                </c:pt>
                <c:pt idx="38">
                  <c:v>26</c:v>
                </c:pt>
                <c:pt idx="39">
                  <c:v>18.5</c:v>
                </c:pt>
                <c:pt idx="40">
                  <c:v>23.5</c:v>
                </c:pt>
                <c:pt idx="41">
                  <c:v>28.3</c:v>
                </c:pt>
                <c:pt idx="42">
                  <c:v>23</c:v>
                </c:pt>
                <c:pt idx="43">
                  <c:v>26.5</c:v>
                </c:pt>
                <c:pt idx="44">
                  <c:v>28.5</c:v>
                </c:pt>
                <c:pt idx="45">
                  <c:v>22.3</c:v>
                </c:pt>
                <c:pt idx="46">
                  <c:v>18</c:v>
                </c:pt>
                <c:pt idx="47">
                  <c:v>13.5</c:v>
                </c:pt>
                <c:pt idx="48">
                  <c:v>14.2</c:v>
                </c:pt>
                <c:pt idx="49">
                  <c:v>13</c:v>
                </c:pt>
                <c:pt idx="50">
                  <c:v>9.6999999999999993</c:v>
                </c:pt>
                <c:pt idx="51">
                  <c:v>29.2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87-7E41-9993-93C53D694FC8}"/>
            </c:ext>
          </c:extLst>
        </c:ser>
        <c:ser>
          <c:idx val="1"/>
          <c:order val="1"/>
          <c:tx>
            <c:strRef>
              <c:f>'Weekly Summary'!$L$1</c:f>
              <c:strCache>
                <c:ptCount val="1"/>
                <c:pt idx="0">
                  <c:v>Actual Miles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'Weekly Summary'!$A$2:$A$53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'Weekly Summary'!$L$2:$L$53</c:f>
              <c:numCache>
                <c:formatCode>0.0</c:formatCode>
                <c:ptCount val="52"/>
                <c:pt idx="0">
                  <c:v>6.55</c:v>
                </c:pt>
                <c:pt idx="1">
                  <c:v>4.92</c:v>
                </c:pt>
                <c:pt idx="2">
                  <c:v>6.1199999999999992</c:v>
                </c:pt>
                <c:pt idx="3">
                  <c:v>5.5</c:v>
                </c:pt>
                <c:pt idx="4">
                  <c:v>4.4000000000000004</c:v>
                </c:pt>
                <c:pt idx="5">
                  <c:v>8.370000000000001</c:v>
                </c:pt>
                <c:pt idx="6">
                  <c:v>8.6999999999999993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87-7E41-9993-93C53D694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Miles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 trend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'Body Tracker'!$C$5</c:f>
              <c:strCache>
                <c:ptCount val="1"/>
                <c:pt idx="0">
                  <c:v>Weight (lb)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9E7D-D94E-8B59-F8CEE6CF644C}"/>
              </c:ext>
            </c:extLst>
          </c:dPt>
          <c:dPt>
            <c:idx val="1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9E7D-D94E-8B59-F8CEE6CF644C}"/>
              </c:ext>
            </c:extLst>
          </c:dPt>
          <c:dPt>
            <c:idx val="2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9E7D-D94E-8B59-F8CEE6CF644C}"/>
              </c:ext>
            </c:extLst>
          </c:dPt>
          <c:dPt>
            <c:idx val="3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9E7D-D94E-8B59-F8CEE6CF644C}"/>
              </c:ext>
            </c:extLst>
          </c:dPt>
          <c:dPt>
            <c:idx val="4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9E7D-D94E-8B59-F8CEE6CF644C}"/>
              </c:ext>
            </c:extLst>
          </c:dPt>
          <c:dPt>
            <c:idx val="5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9E7D-D94E-8B59-F8CEE6CF644C}"/>
              </c:ext>
            </c:extLst>
          </c:dPt>
          <c:dPt>
            <c:idx val="6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9E7D-D94E-8B59-F8CEE6CF644C}"/>
              </c:ext>
            </c:extLst>
          </c:dPt>
          <c:dPt>
            <c:idx val="7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F-9E7D-D94E-8B59-F8CEE6CF644C}"/>
              </c:ext>
            </c:extLst>
          </c:dPt>
          <c:dPt>
            <c:idx val="8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1-9E7D-D94E-8B59-F8CEE6CF644C}"/>
              </c:ext>
            </c:extLst>
          </c:dPt>
          <c:dPt>
            <c:idx val="9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3-9E7D-D94E-8B59-F8CEE6CF644C}"/>
              </c:ext>
            </c:extLst>
          </c:dPt>
          <c:dPt>
            <c:idx val="10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5-9E7D-D94E-8B59-F8CEE6CF644C}"/>
              </c:ext>
            </c:extLst>
          </c:dPt>
          <c:dPt>
            <c:idx val="11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7-9E7D-D94E-8B59-F8CEE6CF644C}"/>
              </c:ext>
            </c:extLst>
          </c:dPt>
          <c:dPt>
            <c:idx val="12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9-9E7D-D94E-8B59-F8CEE6CF644C}"/>
              </c:ext>
            </c:extLst>
          </c:dPt>
          <c:dPt>
            <c:idx val="13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B-9E7D-D94E-8B59-F8CEE6CF644C}"/>
              </c:ext>
            </c:extLst>
          </c:dPt>
          <c:dPt>
            <c:idx val="14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D-9E7D-D94E-8B59-F8CEE6CF644C}"/>
              </c:ext>
            </c:extLst>
          </c:dPt>
          <c:dPt>
            <c:idx val="15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F-9E7D-D94E-8B59-F8CEE6CF644C}"/>
              </c:ext>
            </c:extLst>
          </c:dPt>
          <c:dPt>
            <c:idx val="16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1-9E7D-D94E-8B59-F8CEE6CF644C}"/>
              </c:ext>
            </c:extLst>
          </c:dPt>
          <c:dPt>
            <c:idx val="17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3-9E7D-D94E-8B59-F8CEE6CF644C}"/>
              </c:ext>
            </c:extLst>
          </c:dPt>
          <c:dPt>
            <c:idx val="18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5-9E7D-D94E-8B59-F8CEE6CF644C}"/>
              </c:ext>
            </c:extLst>
          </c:dPt>
          <c:dPt>
            <c:idx val="19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7-9E7D-D94E-8B59-F8CEE6CF644C}"/>
              </c:ext>
            </c:extLst>
          </c:dPt>
          <c:dPt>
            <c:idx val="20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9-9E7D-D94E-8B59-F8CEE6CF644C}"/>
              </c:ext>
            </c:extLst>
          </c:dPt>
          <c:dPt>
            <c:idx val="21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B-9E7D-D94E-8B59-F8CEE6CF644C}"/>
              </c:ext>
            </c:extLst>
          </c:dPt>
          <c:dPt>
            <c:idx val="22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D-9E7D-D94E-8B59-F8CEE6CF644C}"/>
              </c:ext>
            </c:extLst>
          </c:dPt>
          <c:dPt>
            <c:idx val="23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F-9E7D-D94E-8B59-F8CEE6CF644C}"/>
              </c:ext>
            </c:extLst>
          </c:dPt>
          <c:dPt>
            <c:idx val="24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1-9E7D-D94E-8B59-F8CEE6CF644C}"/>
              </c:ext>
            </c:extLst>
          </c:dPt>
          <c:dPt>
            <c:idx val="25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3-9E7D-D94E-8B59-F8CEE6CF644C}"/>
              </c:ext>
            </c:extLst>
          </c:dPt>
          <c:dPt>
            <c:idx val="26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5-9E7D-D94E-8B59-F8CEE6CF644C}"/>
              </c:ext>
            </c:extLst>
          </c:dPt>
          <c:dPt>
            <c:idx val="27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7-9E7D-D94E-8B59-F8CEE6CF644C}"/>
              </c:ext>
            </c:extLst>
          </c:dPt>
          <c:dPt>
            <c:idx val="28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9-9E7D-D94E-8B59-F8CEE6CF644C}"/>
              </c:ext>
            </c:extLst>
          </c:dPt>
          <c:dPt>
            <c:idx val="29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B-9E7D-D94E-8B59-F8CEE6CF644C}"/>
              </c:ext>
            </c:extLst>
          </c:dPt>
          <c:dPt>
            <c:idx val="30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D-9E7D-D94E-8B59-F8CEE6CF644C}"/>
              </c:ext>
            </c:extLst>
          </c:dPt>
          <c:dPt>
            <c:idx val="31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F-9E7D-D94E-8B59-F8CEE6CF644C}"/>
              </c:ext>
            </c:extLst>
          </c:dPt>
          <c:dPt>
            <c:idx val="32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41-9E7D-D94E-8B59-F8CEE6CF644C}"/>
              </c:ext>
            </c:extLst>
          </c:dPt>
          <c:dPt>
            <c:idx val="33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43-9E7D-D94E-8B59-F8CEE6CF644C}"/>
              </c:ext>
            </c:extLst>
          </c:dPt>
          <c:dPt>
            <c:idx val="34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45-9E7D-D94E-8B59-F8CEE6CF644C}"/>
              </c:ext>
            </c:extLst>
          </c:dPt>
          <c:dPt>
            <c:idx val="35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47-9E7D-D94E-8B59-F8CEE6CF644C}"/>
              </c:ext>
            </c:extLst>
          </c:dPt>
          <c:dPt>
            <c:idx val="36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49-9E7D-D94E-8B59-F8CEE6CF644C}"/>
              </c:ext>
            </c:extLst>
          </c:dPt>
          <c:dPt>
            <c:idx val="37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4B-9E7D-D94E-8B59-F8CEE6CF644C}"/>
              </c:ext>
            </c:extLst>
          </c:dPt>
          <c:dPt>
            <c:idx val="38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4D-9E7D-D94E-8B59-F8CEE6CF644C}"/>
              </c:ext>
            </c:extLst>
          </c:dPt>
          <c:dPt>
            <c:idx val="39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4F-9E7D-D94E-8B59-F8CEE6CF644C}"/>
              </c:ext>
            </c:extLst>
          </c:dPt>
          <c:dPt>
            <c:idx val="40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51-9E7D-D94E-8B59-F8CEE6CF644C}"/>
              </c:ext>
            </c:extLst>
          </c:dPt>
          <c:dPt>
            <c:idx val="41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53-9E7D-D94E-8B59-F8CEE6CF644C}"/>
              </c:ext>
            </c:extLst>
          </c:dPt>
          <c:dPt>
            <c:idx val="42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55-9E7D-D94E-8B59-F8CEE6CF644C}"/>
              </c:ext>
            </c:extLst>
          </c:dPt>
          <c:dPt>
            <c:idx val="43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57-9E7D-D94E-8B59-F8CEE6CF644C}"/>
              </c:ext>
            </c:extLst>
          </c:dPt>
          <c:dPt>
            <c:idx val="44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59-9E7D-D94E-8B59-F8CEE6CF644C}"/>
              </c:ext>
            </c:extLst>
          </c:dPt>
          <c:dPt>
            <c:idx val="45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5B-9E7D-D94E-8B59-F8CEE6CF644C}"/>
              </c:ext>
            </c:extLst>
          </c:dPt>
          <c:dPt>
            <c:idx val="46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5D-9E7D-D94E-8B59-F8CEE6CF644C}"/>
              </c:ext>
            </c:extLst>
          </c:dPt>
          <c:dPt>
            <c:idx val="47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5F-9E7D-D94E-8B59-F8CEE6CF644C}"/>
              </c:ext>
            </c:extLst>
          </c:dPt>
          <c:dPt>
            <c:idx val="48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61-9E7D-D94E-8B59-F8CEE6CF644C}"/>
              </c:ext>
            </c:extLst>
          </c:dPt>
          <c:dPt>
            <c:idx val="49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63-9E7D-D94E-8B59-F8CEE6CF644C}"/>
              </c:ext>
            </c:extLst>
          </c:dPt>
          <c:dPt>
            <c:idx val="50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65-9E7D-D94E-8B59-F8CEE6CF644C}"/>
              </c:ext>
            </c:extLst>
          </c:dPt>
          <c:dPt>
            <c:idx val="51"/>
            <c:bubble3D val="0"/>
            <c:spPr>
              <a:ln w="25400" cap="rnd">
                <a:solidFill>
                  <a:schemeClr val="l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67-9E7D-D94E-8B59-F8CEE6CF644C}"/>
              </c:ext>
            </c:extLst>
          </c:dPt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'Body Tracker'!$A$6:$A$57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'Body Tracker'!$C$6:$C$57</c:f>
              <c:numCache>
                <c:formatCode>0.0</c:formatCode>
                <c:ptCount val="52"/>
                <c:pt idx="0">
                  <c:v>281.60000000000002</c:v>
                </c:pt>
                <c:pt idx="3">
                  <c:v>279.8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68-9E7D-D94E-8B59-F8CEE6CF64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2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(lb)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Body measurements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'Body Tracker'!$H$5</c:f>
              <c:strCache>
                <c:ptCount val="1"/>
                <c:pt idx="0">
                  <c:v>Belly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'Body Tracker'!$A$6:$A$57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'Body Tracker'!$H$6:$H$57</c:f>
              <c:numCache>
                <c:formatCode>0.0</c:formatCode>
                <c:ptCount val="52"/>
                <c:pt idx="0">
                  <c:v>53.5</c:v>
                </c:pt>
                <c:pt idx="3">
                  <c:v>52.5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DA-BA40-A500-18D2CCCF4755}"/>
            </c:ext>
          </c:extLst>
        </c:ser>
        <c:ser>
          <c:idx val="1"/>
          <c:order val="1"/>
          <c:tx>
            <c:strRef>
              <c:f>'Body Tracker'!$I$5</c:f>
              <c:strCache>
                <c:ptCount val="1"/>
                <c:pt idx="0">
                  <c:v>Chest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'Body Tracker'!$A$6:$A$57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'Body Tracker'!$I$6:$I$57</c:f>
              <c:numCache>
                <c:formatCode>0.0</c:formatCode>
                <c:ptCount val="52"/>
                <c:pt idx="0">
                  <c:v>51</c:v>
                </c:pt>
                <c:pt idx="3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0DA-BA40-A500-18D2CCCF4755}"/>
            </c:ext>
          </c:extLst>
        </c:ser>
        <c:ser>
          <c:idx val="2"/>
          <c:order val="2"/>
          <c:tx>
            <c:strRef>
              <c:f>'Body Tracker'!$J$5</c:f>
              <c:strCache>
                <c:ptCount val="1"/>
                <c:pt idx="0">
                  <c:v>Avg Arm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'Body Tracker'!$A$6:$A$57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'Body Tracker'!$J$6:$J$57</c:f>
              <c:numCache>
                <c:formatCode>0.0</c:formatCode>
                <c:ptCount val="52"/>
                <c:pt idx="0">
                  <c:v>17</c:v>
                </c:pt>
                <c:pt idx="1">
                  <c:v>0</c:v>
                </c:pt>
                <c:pt idx="2">
                  <c:v>0</c:v>
                </c:pt>
                <c:pt idx="3">
                  <c:v>17.5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0DA-BA40-A500-18D2CCCF4755}"/>
            </c:ext>
          </c:extLst>
        </c:ser>
        <c:ser>
          <c:idx val="3"/>
          <c:order val="3"/>
          <c:tx>
            <c:strRef>
              <c:f>'Body Tracker'!$K$5</c:f>
              <c:strCache>
                <c:ptCount val="1"/>
                <c:pt idx="0">
                  <c:v>Avg Leg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'Body Tracker'!$A$6:$A$57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'Body Tracker'!$K$6:$K$57</c:f>
              <c:numCache>
                <c:formatCode>0.0</c:formatCode>
                <c:ptCount val="52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28.5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0DA-BA40-A500-18D2CCCF4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Inches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54427</xdr:colOff>
      <xdr:row>2</xdr:row>
      <xdr:rowOff>254000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27213</xdr:colOff>
      <xdr:row>25</xdr:row>
      <xdr:rowOff>72573</xdr:rowOff>
    </xdr:from>
    <xdr:ext cx="11947073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5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6F6B22-148A-044C-B1BA-585BB7A92FAB}" name="Table2" displayName="Table2" ref="A1:V366" totalsRowCount="1" headerRowDxfId="52" headerRowBorderDxfId="51" tableBorderDxfId="50" totalsRowBorderDxfId="49">
  <autoFilter ref="A1:V365" xr:uid="{F36F6B22-148A-044C-B1BA-585BB7A92FAB}"/>
  <tableColumns count="22">
    <tableColumn id="1" xr3:uid="{E6079FD3-3DD3-4C4E-89F5-FE721BA11314}" name="Week" dataDxfId="48" totalsRowDxfId="21"/>
    <tableColumn id="2" xr3:uid="{B2E68AA9-0860-2A4A-99B7-D5ECF4B4050D}" name="Phase" dataDxfId="47" totalsRowDxfId="20"/>
    <tableColumn id="3" xr3:uid="{0BC15F19-B89C-064A-99D7-434427BBCDE2}" name="Date" dataDxfId="46" totalsRowDxfId="19">
      <calculatedColumnFormula>C1+1</calculatedColumnFormula>
    </tableColumn>
    <tableColumn id="4" xr3:uid="{CFA1FDDE-CB90-254B-A550-0633C5BF6FFE}" name="Day" dataDxfId="45" totalsRowDxfId="18"/>
    <tableColumn id="5" xr3:uid="{6A7BD0B4-D9A9-4643-AA1F-876E4B1375B4}" name="Tonal Min" dataDxfId="44" totalsRowDxfId="17"/>
    <tableColumn id="6" xr3:uid="{9DEC39D3-EC73-1542-AD17-0BCB0CD2EA51}" name="Cardio Mode" dataDxfId="43" totalsRowDxfId="16"/>
    <tableColumn id="7" xr3:uid="{E5D77700-97CA-C049-A340-2E6891A8E860}" name="Cardio Detail" dataDxfId="42" totalsRowDxfId="15"/>
    <tableColumn id="8" xr3:uid="{67FD54EE-4F49-CB4A-AC46-64BCD6950775}" name="Cardio Min" dataDxfId="41" totalsRowDxfId="14"/>
    <tableColumn id="9" xr3:uid="{AF1872C0-E3F3-A54E-9F31-C40BC00D5400}" name="Planned Miles" dataDxfId="40" totalsRowDxfId="13"/>
    <tableColumn id="10" xr3:uid="{314723AA-8B78-C348-B9D3-B64BCFB663DF}" name="Pace" dataDxfId="39" totalsRowDxfId="12">
      <calculatedColumnFormula>IFERROR(TEXT(H2 / I2 / 1440, "m:ss"),"")</calculatedColumnFormula>
    </tableColumn>
    <tableColumn id="11" xr3:uid="{C1BAB789-EC57-B443-9F27-EDF21F051D89}" name="Primary Goal" dataDxfId="38" totalsRowDxfId="11"/>
    <tableColumn id="12" xr3:uid="{D30A531F-EDBE-064F-8DFF-71D292BCD066}" name="Status" dataDxfId="37" totalsRowDxfId="10"/>
    <tableColumn id="13" xr3:uid="{CFD37B14-8937-A14B-A567-900FB0E76529}" name="Actual Tonal Min" dataDxfId="36" totalsRowDxfId="9"/>
    <tableColumn id="14" xr3:uid="{C9BC1DA1-8368-284F-9D42-B8BE6A6C8C91}" name="Actual Cardio Min" dataDxfId="35" totalsRowDxfId="8"/>
    <tableColumn id="15" xr3:uid="{680BA80C-70B5-C444-81D1-15E4AA289584}" name="Actual Miles" dataDxfId="34" totalsRowDxfId="7"/>
    <tableColumn id="16" xr3:uid="{0B3F4FF7-DA93-D149-8346-28AE5795C781}" name="RPE" dataDxfId="33" totalsRowDxfId="6"/>
    <tableColumn id="17" xr3:uid="{DB3A8E45-C53C-5C44-9FD0-7E4E04043913}" name="Notes" dataDxfId="32" totalsRowDxfId="5"/>
    <tableColumn id="18" xr3:uid="{63732F59-E644-834B-9844-F841F22A0BBD}" name="Completion Score" dataDxfId="31" totalsRowDxfId="4">
      <calculatedColumnFormula>IF(L2="Done",1,IF(L2="Partial",0.5,IF(L2="Rest",1,0)))</calculatedColumnFormula>
    </tableColumn>
    <tableColumn id="19" xr3:uid="{F5F0FA5E-79C4-D34E-B220-EE93D4C57853}" name="Planned Total Min" dataDxfId="30" totalsRowDxfId="3">
      <calculatedColumnFormula>E2+H2</calculatedColumnFormula>
    </tableColumn>
    <tableColumn id="20" xr3:uid="{117FBD80-4CF7-7144-AB3F-8CE059D1FBA3}" name="Actual Total Min" dataDxfId="29" totalsRowDxfId="2">
      <calculatedColumnFormula>IF(OR(M2&lt;&gt;"",N2&lt;&gt;""),M2+N2,"")</calculatedColumnFormula>
    </tableColumn>
    <tableColumn id="21" xr3:uid="{910ED4A4-B7C7-AD41-93D9-E58E2940297A}" name="Miles Delta" dataDxfId="28" totalsRowDxfId="1">
      <calculatedColumnFormula>IF(O2="","",O2-I2)</calculatedColumnFormula>
    </tableColumn>
    <tableColumn id="22" xr3:uid="{348827AB-0F28-3B4D-85CA-31D114C9DB71}" name="Total Delta" dataDxfId="27" totalsRowDxfId="0">
      <calculatedColumnFormula>(SUM($O$2:O2)-SUM($I$2:I2))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zoomScale="140" zoomScaleNormal="140" workbookViewId="0">
      <selection activeCell="B6" sqref="B6"/>
    </sheetView>
  </sheetViews>
  <sheetFormatPr baseColWidth="10" defaultColWidth="8.83203125" defaultRowHeight="15" x14ac:dyDescent="0.2"/>
  <cols>
    <col min="1" max="1" width="26.33203125" bestFit="1" customWidth="1"/>
    <col min="2" max="2" width="14" customWidth="1"/>
    <col min="3" max="3" width="26.1640625" bestFit="1" customWidth="1"/>
    <col min="4" max="4" width="14" customWidth="1"/>
    <col min="5" max="5" width="19.5" bestFit="1" customWidth="1"/>
    <col min="6" max="6" width="22.6640625" bestFit="1" customWidth="1"/>
    <col min="7" max="7" width="17" customWidth="1"/>
    <col min="8" max="8" width="14" customWidth="1"/>
    <col min="9" max="9" width="3" customWidth="1"/>
    <col min="10" max="14" width="14" customWidth="1"/>
  </cols>
  <sheetData>
    <row r="1" spans="1:8" ht="28" customHeight="1" x14ac:dyDescent="0.2">
      <c r="A1" s="62" t="s">
        <v>101</v>
      </c>
      <c r="B1" s="63"/>
      <c r="C1" s="63"/>
      <c r="D1" s="63"/>
      <c r="E1" s="63"/>
      <c r="F1" s="63"/>
      <c r="G1" s="63"/>
      <c r="H1" s="63"/>
    </row>
    <row r="2" spans="1:8" ht="30" customHeight="1" x14ac:dyDescent="0.2">
      <c r="A2" s="63"/>
      <c r="B2" s="63"/>
      <c r="C2" s="63"/>
      <c r="D2" s="63"/>
      <c r="E2" s="63"/>
      <c r="F2" s="63"/>
      <c r="G2" s="63"/>
      <c r="H2" s="63"/>
    </row>
    <row r="3" spans="1:8" ht="22" customHeight="1" x14ac:dyDescent="0.2">
      <c r="A3" s="67" t="s">
        <v>102</v>
      </c>
      <c r="B3" s="63"/>
      <c r="C3" s="63"/>
      <c r="D3" s="63"/>
      <c r="E3" s="63"/>
      <c r="F3" s="63"/>
      <c r="G3" s="63"/>
      <c r="H3" s="63"/>
    </row>
    <row r="5" spans="1:8" ht="16" customHeight="1" x14ac:dyDescent="0.2">
      <c r="A5" s="66" t="s">
        <v>103</v>
      </c>
      <c r="B5" s="63"/>
      <c r="C5" s="63"/>
      <c r="D5" s="63"/>
      <c r="E5" s="64" t="s">
        <v>104</v>
      </c>
      <c r="F5" s="63"/>
      <c r="G5" s="63"/>
      <c r="H5" s="63"/>
    </row>
    <row r="6" spans="1:8" x14ac:dyDescent="0.2">
      <c r="A6" s="1" t="s">
        <v>105</v>
      </c>
      <c r="B6" s="2">
        <f>Controls!B6</f>
        <v>46089</v>
      </c>
      <c r="E6" s="1" t="s">
        <v>106</v>
      </c>
      <c r="F6" s="3">
        <f>COUNTIF('Daily Plan'!L:L,"Done")</f>
        <v>35</v>
      </c>
    </row>
    <row r="7" spans="1:8" x14ac:dyDescent="0.2">
      <c r="A7" s="1" t="s">
        <v>107</v>
      </c>
      <c r="B7" s="2">
        <f>Controls!B7</f>
        <v>46452</v>
      </c>
      <c r="E7" s="1" t="s">
        <v>108</v>
      </c>
      <c r="F7" s="4">
        <f>AVERAGE('Weekly Summary'!M2:M53)</f>
        <v>0.23901098901098877</v>
      </c>
    </row>
    <row r="8" spans="1:8" x14ac:dyDescent="0.2">
      <c r="A8" s="1" t="s">
        <v>109</v>
      </c>
      <c r="B8" s="3">
        <v>52</v>
      </c>
      <c r="E8" s="1" t="s">
        <v>110</v>
      </c>
      <c r="F8" s="5">
        <f>SUM('Daily Plan'!O:O)</f>
        <v>44.56</v>
      </c>
    </row>
    <row r="9" spans="1:8" x14ac:dyDescent="0.2">
      <c r="A9" s="1" t="s">
        <v>111</v>
      </c>
      <c r="B9" s="5">
        <f>MAX('Weekly Summary'!N:N)</f>
        <v>20</v>
      </c>
      <c r="E9" s="1" t="s">
        <v>112</v>
      </c>
      <c r="F9" s="3">
        <f>COUNT('Body Tracker'!C6:C57)</f>
        <v>2</v>
      </c>
    </row>
    <row r="10" spans="1:8" x14ac:dyDescent="0.2">
      <c r="A10" s="1" t="s">
        <v>113</v>
      </c>
      <c r="B10" s="5">
        <f>MAX('Weekly Summary'!H:H)</f>
        <v>29.2</v>
      </c>
      <c r="E10" s="1" t="s">
        <v>114</v>
      </c>
      <c r="F10" s="3" t="s">
        <v>115</v>
      </c>
    </row>
    <row r="11" spans="1:8" x14ac:dyDescent="0.2">
      <c r="A11" s="1" t="s">
        <v>116</v>
      </c>
      <c r="B11" s="3">
        <v>52</v>
      </c>
      <c r="E11" s="1" t="s">
        <v>117</v>
      </c>
      <c r="F11" s="3" t="s">
        <v>118</v>
      </c>
    </row>
    <row r="12" spans="1:8" ht="16" customHeight="1" x14ac:dyDescent="0.2">
      <c r="A12" s="65" t="s">
        <v>119</v>
      </c>
      <c r="B12" s="63"/>
      <c r="C12" s="63"/>
      <c r="D12" s="63"/>
      <c r="E12" s="63"/>
      <c r="F12" s="63"/>
      <c r="G12" s="63"/>
      <c r="H12" s="63"/>
    </row>
    <row r="13" spans="1:8" x14ac:dyDescent="0.2">
      <c r="A13" s="68" t="s">
        <v>120</v>
      </c>
      <c r="B13" s="69"/>
      <c r="C13" s="69"/>
      <c r="D13" s="69"/>
      <c r="E13" s="69"/>
      <c r="F13" s="69"/>
      <c r="G13" s="69"/>
      <c r="H13" s="70"/>
    </row>
    <row r="14" spans="1:8" x14ac:dyDescent="0.2">
      <c r="A14" s="68" t="s">
        <v>121</v>
      </c>
      <c r="B14" s="69"/>
      <c r="C14" s="69"/>
      <c r="D14" s="69"/>
      <c r="E14" s="69"/>
      <c r="F14" s="69"/>
      <c r="G14" s="69"/>
      <c r="H14" s="70"/>
    </row>
    <row r="15" spans="1:8" x14ac:dyDescent="0.2">
      <c r="A15" s="68" t="s">
        <v>122</v>
      </c>
      <c r="B15" s="69"/>
      <c r="C15" s="69"/>
      <c r="D15" s="69"/>
      <c r="E15" s="69"/>
      <c r="F15" s="69"/>
      <c r="G15" s="69"/>
      <c r="H15" s="70"/>
    </row>
    <row r="16" spans="1:8" x14ac:dyDescent="0.2">
      <c r="A16" s="68" t="s">
        <v>123</v>
      </c>
      <c r="B16" s="69"/>
      <c r="C16" s="69"/>
      <c r="D16" s="69"/>
      <c r="E16" s="69"/>
      <c r="F16" s="69"/>
      <c r="G16" s="69"/>
      <c r="H16" s="70"/>
    </row>
    <row r="18" spans="1:8" ht="16" customHeight="1" x14ac:dyDescent="0.2">
      <c r="A18" s="64" t="s">
        <v>124</v>
      </c>
      <c r="B18" s="63"/>
      <c r="C18" s="63"/>
      <c r="D18" s="63"/>
      <c r="E18" s="63"/>
      <c r="F18" s="63"/>
      <c r="G18" s="63"/>
      <c r="H18" s="63"/>
    </row>
    <row r="19" spans="1:8" x14ac:dyDescent="0.2">
      <c r="A19" s="6" t="s">
        <v>125</v>
      </c>
      <c r="B19" s="6" t="s">
        <v>2</v>
      </c>
      <c r="C19" s="6" t="s">
        <v>126</v>
      </c>
      <c r="D19" s="6" t="s">
        <v>127</v>
      </c>
      <c r="E19" s="6" t="s">
        <v>128</v>
      </c>
    </row>
    <row r="20" spans="1:8" x14ac:dyDescent="0.2">
      <c r="A20" s="7">
        <f>Milestones!A6</f>
        <v>1</v>
      </c>
      <c r="B20" s="8">
        <f>Milestones!B6</f>
        <v>46090</v>
      </c>
      <c r="C20" s="7" t="str">
        <f>Milestones!C6</f>
        <v>Lock in 5-6 training days each week</v>
      </c>
      <c r="D20" s="7">
        <f>Milestones!D6</f>
        <v>276.7</v>
      </c>
      <c r="E20" s="9">
        <f>Milestones!E6</f>
        <v>3.1</v>
      </c>
    </row>
    <row r="21" spans="1:8" x14ac:dyDescent="0.2">
      <c r="A21" s="7">
        <f>Milestones!A7</f>
        <v>2</v>
      </c>
      <c r="B21" s="8">
        <f>Milestones!B7</f>
        <v>46120</v>
      </c>
      <c r="C21" s="7" t="str">
        <f>Milestones!C7</f>
        <v>Own 75 min of easy cardio</v>
      </c>
      <c r="D21" s="7">
        <f>Milestones!D7</f>
        <v>272.7</v>
      </c>
      <c r="E21" s="9">
        <f>Milestones!E7</f>
        <v>4.2</v>
      </c>
    </row>
    <row r="22" spans="1:8" x14ac:dyDescent="0.2">
      <c r="A22" s="7">
        <f>Milestones!A8</f>
        <v>3</v>
      </c>
      <c r="B22" s="8">
        <f>Milestones!B8</f>
        <v>46150</v>
      </c>
      <c r="C22" s="7" t="str">
        <f>Milestones!C8</f>
        <v>Start run/walk without panic breathing</v>
      </c>
      <c r="D22" s="7">
        <f>Milestones!D8</f>
        <v>268.7</v>
      </c>
      <c r="E22" s="9">
        <f>Milestones!E8</f>
        <v>5</v>
      </c>
    </row>
    <row r="23" spans="1:8" x14ac:dyDescent="0.2">
      <c r="A23" s="7">
        <f>Milestones!A9</f>
        <v>4</v>
      </c>
      <c r="B23" s="8">
        <f>Milestones!B9</f>
        <v>46180</v>
      </c>
      <c r="C23" s="7" t="str">
        <f>Milestones!C9</f>
        <v>Long run reaches 4 miles</v>
      </c>
      <c r="D23" s="7">
        <f>Milestones!D9</f>
        <v>263.7</v>
      </c>
      <c r="E23" s="9">
        <f>Milestones!E9</f>
        <v>4</v>
      </c>
    </row>
    <row r="24" spans="1:8" x14ac:dyDescent="0.2">
      <c r="A24" s="7">
        <f>Milestones!A10</f>
        <v>5</v>
      </c>
      <c r="B24" s="8">
        <f>Milestones!B10</f>
        <v>46210</v>
      </c>
      <c r="C24" s="7" t="str">
        <f>Milestones!C10</f>
        <v>Run first nonstop mile</v>
      </c>
      <c r="D24" s="7">
        <f>Milestones!D10</f>
        <v>258.7</v>
      </c>
      <c r="E24" s="9">
        <f>Milestones!E10</f>
        <v>5</v>
      </c>
    </row>
    <row r="25" spans="1:8" x14ac:dyDescent="0.2">
      <c r="A25" s="7">
        <f>Milestones!A11</f>
        <v>6</v>
      </c>
      <c r="B25" s="8">
        <f>Milestones!B11</f>
        <v>46240</v>
      </c>
      <c r="C25" s="7" t="str">
        <f>Milestones!C11</f>
        <v>Long run reaches 8 miles</v>
      </c>
      <c r="D25" s="7">
        <f>Milestones!D11</f>
        <v>253.7</v>
      </c>
      <c r="E25" s="9">
        <f>Milestones!E11</f>
        <v>8</v>
      </c>
    </row>
  </sheetData>
  <mergeCells count="10">
    <mergeCell ref="A1:H2"/>
    <mergeCell ref="E5:H5"/>
    <mergeCell ref="A12:H12"/>
    <mergeCell ref="A5:D5"/>
    <mergeCell ref="A18:H18"/>
    <mergeCell ref="A3:H3"/>
    <mergeCell ref="A15:H15"/>
    <mergeCell ref="A16:H16"/>
    <mergeCell ref="A13:H13"/>
    <mergeCell ref="A14:H1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workbookViewId="0">
      <selection activeCell="B31" sqref="B31"/>
    </sheetView>
  </sheetViews>
  <sheetFormatPr baseColWidth="10" defaultColWidth="8.83203125" defaultRowHeight="15" x14ac:dyDescent="0.2"/>
  <cols>
    <col min="1" max="1" width="22" customWidth="1"/>
    <col min="2" max="3" width="18" customWidth="1"/>
    <col min="4" max="4" width="22" customWidth="1"/>
    <col min="5" max="5" width="18" customWidth="1"/>
    <col min="6" max="6" width="28" customWidth="1"/>
    <col min="7" max="7" width="18" customWidth="1"/>
  </cols>
  <sheetData>
    <row r="1" spans="1:8" ht="28" customHeight="1" x14ac:dyDescent="0.2">
      <c r="A1" s="62" t="s">
        <v>129</v>
      </c>
      <c r="B1" s="63"/>
      <c r="C1" s="63"/>
      <c r="D1" s="63"/>
      <c r="E1" s="63"/>
      <c r="F1" s="63"/>
      <c r="G1" s="63"/>
      <c r="H1" s="63"/>
    </row>
    <row r="2" spans="1:8" ht="30" customHeight="1" x14ac:dyDescent="0.2">
      <c r="A2" s="63"/>
      <c r="B2" s="63"/>
      <c r="C2" s="63"/>
      <c r="D2" s="63"/>
      <c r="E2" s="63"/>
      <c r="F2" s="63"/>
      <c r="G2" s="63"/>
      <c r="H2" s="63"/>
    </row>
    <row r="3" spans="1:8" ht="22" customHeight="1" x14ac:dyDescent="0.2">
      <c r="A3" s="67" t="s">
        <v>130</v>
      </c>
      <c r="B3" s="63"/>
      <c r="C3" s="63"/>
      <c r="D3" s="63"/>
      <c r="E3" s="63"/>
      <c r="F3" s="63"/>
      <c r="G3" s="63"/>
      <c r="H3" s="63"/>
    </row>
    <row r="5" spans="1:8" ht="16" customHeight="1" x14ac:dyDescent="0.2">
      <c r="A5" s="66" t="s">
        <v>131</v>
      </c>
      <c r="B5" s="63"/>
      <c r="D5" s="64" t="s">
        <v>132</v>
      </c>
      <c r="E5" s="63"/>
      <c r="F5" s="63"/>
      <c r="G5" s="63"/>
    </row>
    <row r="6" spans="1:8" ht="28" customHeight="1" x14ac:dyDescent="0.2">
      <c r="A6" s="1" t="s">
        <v>133</v>
      </c>
      <c r="B6" s="10">
        <v>46089</v>
      </c>
      <c r="D6" s="11" t="s">
        <v>21</v>
      </c>
      <c r="E6" s="11" t="s">
        <v>134</v>
      </c>
      <c r="F6" s="11" t="s">
        <v>135</v>
      </c>
      <c r="G6" s="11" t="s">
        <v>136</v>
      </c>
    </row>
    <row r="7" spans="1:8" ht="42" customHeight="1" x14ac:dyDescent="0.2">
      <c r="A7" s="1" t="s">
        <v>107</v>
      </c>
      <c r="B7" s="2">
        <f>B6+363</f>
        <v>46452</v>
      </c>
      <c r="D7" s="11" t="s">
        <v>77</v>
      </c>
      <c r="E7" s="11" t="s">
        <v>137</v>
      </c>
      <c r="F7" s="11" t="s">
        <v>138</v>
      </c>
      <c r="G7" s="11" t="s">
        <v>139</v>
      </c>
    </row>
    <row r="8" spans="1:8" ht="28" customHeight="1" x14ac:dyDescent="0.2">
      <c r="A8" s="1" t="s">
        <v>140</v>
      </c>
      <c r="B8" s="12">
        <v>280.7</v>
      </c>
      <c r="D8" s="11" t="s">
        <v>82</v>
      </c>
      <c r="E8" s="11" t="s">
        <v>141</v>
      </c>
      <c r="F8" s="11" t="s">
        <v>142</v>
      </c>
      <c r="G8" s="11" t="s">
        <v>143</v>
      </c>
    </row>
    <row r="9" spans="1:8" ht="28" customHeight="1" x14ac:dyDescent="0.2">
      <c r="A9" s="1" t="s">
        <v>144</v>
      </c>
      <c r="B9" s="12">
        <v>220</v>
      </c>
      <c r="D9" s="11" t="s">
        <v>88</v>
      </c>
      <c r="E9" s="11" t="s">
        <v>145</v>
      </c>
      <c r="F9" s="11" t="s">
        <v>146</v>
      </c>
      <c r="G9" s="11" t="s">
        <v>147</v>
      </c>
    </row>
    <row r="10" spans="1:8" ht="28" customHeight="1" x14ac:dyDescent="0.2">
      <c r="A10" s="1" t="s">
        <v>148</v>
      </c>
      <c r="B10" s="12" t="s">
        <v>149</v>
      </c>
      <c r="D10" s="11" t="s">
        <v>92</v>
      </c>
      <c r="E10" s="11" t="s">
        <v>150</v>
      </c>
      <c r="F10" s="11" t="s">
        <v>151</v>
      </c>
      <c r="G10" s="11" t="s">
        <v>152</v>
      </c>
    </row>
    <row r="11" spans="1:8" ht="28" customHeight="1" x14ac:dyDescent="0.2">
      <c r="A11" s="1" t="s">
        <v>15</v>
      </c>
      <c r="B11" s="12" t="s">
        <v>153</v>
      </c>
      <c r="D11" s="11" t="s">
        <v>96</v>
      </c>
      <c r="E11" s="11" t="s">
        <v>154</v>
      </c>
      <c r="F11" s="11" t="s">
        <v>155</v>
      </c>
      <c r="G11" s="11" t="s">
        <v>156</v>
      </c>
    </row>
    <row r="14" spans="1:8" ht="16" customHeight="1" x14ac:dyDescent="0.2">
      <c r="A14" s="65" t="s">
        <v>157</v>
      </c>
      <c r="B14" s="63"/>
      <c r="C14" s="63"/>
      <c r="D14" s="63"/>
      <c r="E14" s="63"/>
      <c r="F14" s="63"/>
      <c r="G14" s="63"/>
    </row>
    <row r="15" spans="1:8" x14ac:dyDescent="0.2">
      <c r="A15" s="71" t="s">
        <v>158</v>
      </c>
      <c r="B15" s="69"/>
      <c r="C15" s="69"/>
      <c r="D15" s="69"/>
      <c r="E15" s="69"/>
      <c r="F15" s="69"/>
      <c r="G15" s="70"/>
    </row>
    <row r="16" spans="1:8" x14ac:dyDescent="0.2">
      <c r="A16" s="71" t="s">
        <v>159</v>
      </c>
      <c r="B16" s="69"/>
      <c r="C16" s="69"/>
      <c r="D16" s="69"/>
      <c r="E16" s="69"/>
      <c r="F16" s="69"/>
      <c r="G16" s="70"/>
    </row>
    <row r="17" spans="1:7" x14ac:dyDescent="0.2">
      <c r="A17" s="71" t="s">
        <v>160</v>
      </c>
      <c r="B17" s="69"/>
      <c r="C17" s="69"/>
      <c r="D17" s="69"/>
      <c r="E17" s="69"/>
      <c r="F17" s="69"/>
      <c r="G17" s="70"/>
    </row>
    <row r="18" spans="1:7" x14ac:dyDescent="0.2">
      <c r="A18" s="71" t="s">
        <v>161</v>
      </c>
      <c r="B18" s="69"/>
      <c r="C18" s="69"/>
      <c r="D18" s="69"/>
      <c r="E18" s="69"/>
      <c r="F18" s="69"/>
      <c r="G18" s="70"/>
    </row>
    <row r="19" spans="1:7" x14ac:dyDescent="0.2">
      <c r="A19" s="71" t="s">
        <v>162</v>
      </c>
      <c r="B19" s="69"/>
      <c r="C19" s="69"/>
      <c r="D19" s="69"/>
      <c r="E19" s="69"/>
      <c r="F19" s="69"/>
      <c r="G19" s="70"/>
    </row>
  </sheetData>
  <mergeCells count="10">
    <mergeCell ref="A19:G19"/>
    <mergeCell ref="A1:H2"/>
    <mergeCell ref="A14:G14"/>
    <mergeCell ref="A3:H3"/>
    <mergeCell ref="A17:G17"/>
    <mergeCell ref="A18:G18"/>
    <mergeCell ref="A5:B5"/>
    <mergeCell ref="A16:G16"/>
    <mergeCell ref="A15:G15"/>
    <mergeCell ref="D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workbookViewId="0">
      <selection activeCell="E7" sqref="E7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27" customWidth="1"/>
    <col min="4" max="5" width="15" customWidth="1"/>
    <col min="6" max="6" width="28" customWidth="1"/>
    <col min="7" max="7" width="24" customWidth="1"/>
  </cols>
  <sheetData>
    <row r="1" spans="1:8" ht="28" customHeight="1" x14ac:dyDescent="0.2">
      <c r="A1" s="62" t="s">
        <v>163</v>
      </c>
      <c r="B1" s="63"/>
      <c r="C1" s="63"/>
      <c r="D1" s="63"/>
      <c r="E1" s="63"/>
      <c r="F1" s="63"/>
      <c r="G1" s="63"/>
      <c r="H1" s="63"/>
    </row>
    <row r="2" spans="1:8" ht="30" customHeight="1" x14ac:dyDescent="0.2">
      <c r="A2" s="63"/>
      <c r="B2" s="63"/>
      <c r="C2" s="63"/>
      <c r="D2" s="63"/>
      <c r="E2" s="63"/>
      <c r="F2" s="63"/>
      <c r="G2" s="63"/>
      <c r="H2" s="63"/>
    </row>
    <row r="3" spans="1:8" ht="22" customHeight="1" x14ac:dyDescent="0.2">
      <c r="A3" s="67" t="s">
        <v>164</v>
      </c>
      <c r="B3" s="63"/>
      <c r="C3" s="63"/>
      <c r="D3" s="63"/>
      <c r="E3" s="63"/>
      <c r="F3" s="63"/>
      <c r="G3" s="63"/>
      <c r="H3" s="63"/>
    </row>
    <row r="5" spans="1:8" x14ac:dyDescent="0.2">
      <c r="A5" s="14" t="s">
        <v>125</v>
      </c>
      <c r="B5" s="14" t="s">
        <v>165</v>
      </c>
      <c r="C5" s="14" t="s">
        <v>148</v>
      </c>
      <c r="D5" s="14" t="s">
        <v>127</v>
      </c>
      <c r="E5" s="14" t="s">
        <v>166</v>
      </c>
      <c r="F5" s="14" t="s">
        <v>167</v>
      </c>
      <c r="G5" s="14" t="s">
        <v>168</v>
      </c>
    </row>
    <row r="6" spans="1:8" x14ac:dyDescent="0.2">
      <c r="A6" s="15">
        <v>1</v>
      </c>
      <c r="B6" s="16">
        <v>46090</v>
      </c>
      <c r="C6" s="17" t="s">
        <v>169</v>
      </c>
      <c r="D6" s="60">
        <f>Controls!B8-4</f>
        <v>276.7</v>
      </c>
      <c r="E6" s="18">
        <v>3.1</v>
      </c>
      <c r="F6" s="17" t="s">
        <v>170</v>
      </c>
      <c r="G6" s="17" t="s">
        <v>171</v>
      </c>
    </row>
    <row r="7" spans="1:8" x14ac:dyDescent="0.2">
      <c r="A7" s="19">
        <v>2</v>
      </c>
      <c r="B7" s="20">
        <v>46120</v>
      </c>
      <c r="C7" s="21" t="s">
        <v>172</v>
      </c>
      <c r="D7" s="61">
        <f>D6-4</f>
        <v>272.7</v>
      </c>
      <c r="E7" s="22">
        <v>4.2</v>
      </c>
      <c r="F7" s="21" t="s">
        <v>173</v>
      </c>
      <c r="G7" s="21" t="s">
        <v>174</v>
      </c>
    </row>
    <row r="8" spans="1:8" ht="30" customHeight="1" x14ac:dyDescent="0.2">
      <c r="A8" s="15">
        <v>3</v>
      </c>
      <c r="B8" s="16">
        <v>46150</v>
      </c>
      <c r="C8" s="17" t="s">
        <v>175</v>
      </c>
      <c r="D8" s="61">
        <f t="shared" ref="D8" si="0">D7-4</f>
        <v>268.7</v>
      </c>
      <c r="E8" s="18">
        <v>5</v>
      </c>
      <c r="F8" s="17" t="s">
        <v>176</v>
      </c>
      <c r="G8" s="17" t="s">
        <v>177</v>
      </c>
    </row>
    <row r="9" spans="1:8" x14ac:dyDescent="0.2">
      <c r="A9" s="19">
        <v>4</v>
      </c>
      <c r="B9" s="20">
        <v>46180</v>
      </c>
      <c r="C9" s="21" t="s">
        <v>178</v>
      </c>
      <c r="D9" s="61">
        <f>D8-5</f>
        <v>263.7</v>
      </c>
      <c r="E9" s="22">
        <v>4</v>
      </c>
      <c r="F9" s="21" t="s">
        <v>179</v>
      </c>
      <c r="G9" s="21" t="s">
        <v>180</v>
      </c>
    </row>
    <row r="10" spans="1:8" x14ac:dyDescent="0.2">
      <c r="A10" s="15">
        <v>5</v>
      </c>
      <c r="B10" s="16">
        <v>46210</v>
      </c>
      <c r="C10" s="17" t="s">
        <v>181</v>
      </c>
      <c r="D10" s="61">
        <f t="shared" ref="D10:D17" si="1">D9-5</f>
        <v>258.7</v>
      </c>
      <c r="E10" s="18">
        <v>5</v>
      </c>
      <c r="F10" s="17" t="s">
        <v>182</v>
      </c>
      <c r="G10" s="17" t="s">
        <v>183</v>
      </c>
    </row>
    <row r="11" spans="1:8" x14ac:dyDescent="0.2">
      <c r="A11" s="19">
        <v>6</v>
      </c>
      <c r="B11" s="20">
        <v>46240</v>
      </c>
      <c r="C11" s="21" t="s">
        <v>184</v>
      </c>
      <c r="D11" s="61">
        <f t="shared" si="1"/>
        <v>253.7</v>
      </c>
      <c r="E11" s="22">
        <v>8</v>
      </c>
      <c r="F11" s="21" t="s">
        <v>185</v>
      </c>
      <c r="G11" s="21" t="s">
        <v>186</v>
      </c>
    </row>
    <row r="12" spans="1:8" x14ac:dyDescent="0.2">
      <c r="A12" s="15">
        <v>7</v>
      </c>
      <c r="B12" s="16">
        <v>46270</v>
      </c>
      <c r="C12" s="17" t="s">
        <v>187</v>
      </c>
      <c r="D12" s="61">
        <f t="shared" si="1"/>
        <v>248.7</v>
      </c>
      <c r="E12" s="18">
        <v>10</v>
      </c>
      <c r="F12" s="17" t="s">
        <v>188</v>
      </c>
      <c r="G12" s="17" t="s">
        <v>189</v>
      </c>
    </row>
    <row r="13" spans="1:8" x14ac:dyDescent="0.2">
      <c r="A13" s="19">
        <v>8</v>
      </c>
      <c r="B13" s="20">
        <v>46300</v>
      </c>
      <c r="C13" s="21" t="s">
        <v>190</v>
      </c>
      <c r="D13" s="61">
        <f t="shared" si="1"/>
        <v>243.7</v>
      </c>
      <c r="E13" s="22">
        <v>13</v>
      </c>
      <c r="F13" s="21" t="s">
        <v>191</v>
      </c>
      <c r="G13" s="21" t="s">
        <v>192</v>
      </c>
    </row>
    <row r="14" spans="1:8" ht="30" customHeight="1" x14ac:dyDescent="0.2">
      <c r="A14" s="15">
        <v>9</v>
      </c>
      <c r="B14" s="16">
        <v>46330</v>
      </c>
      <c r="C14" s="17" t="s">
        <v>193</v>
      </c>
      <c r="D14" s="61">
        <f t="shared" si="1"/>
        <v>238.7</v>
      </c>
      <c r="E14" s="18">
        <v>15</v>
      </c>
      <c r="F14" s="17" t="s">
        <v>194</v>
      </c>
      <c r="G14" s="17" t="s">
        <v>195</v>
      </c>
    </row>
    <row r="15" spans="1:8" x14ac:dyDescent="0.2">
      <c r="A15" s="19">
        <v>10</v>
      </c>
      <c r="B15" s="20">
        <v>46360</v>
      </c>
      <c r="C15" s="21" t="s">
        <v>196</v>
      </c>
      <c r="D15" s="61">
        <f t="shared" si="1"/>
        <v>233.7</v>
      </c>
      <c r="E15" s="22">
        <v>18</v>
      </c>
      <c r="F15" s="21" t="s">
        <v>197</v>
      </c>
      <c r="G15" s="21" t="s">
        <v>198</v>
      </c>
    </row>
    <row r="16" spans="1:8" ht="30" customHeight="1" x14ac:dyDescent="0.2">
      <c r="A16" s="15">
        <v>11</v>
      </c>
      <c r="B16" s="16">
        <v>46390</v>
      </c>
      <c r="C16" s="17" t="s">
        <v>199</v>
      </c>
      <c r="D16" s="61">
        <f t="shared" si="1"/>
        <v>228.7</v>
      </c>
      <c r="E16" s="18">
        <v>20</v>
      </c>
      <c r="F16" s="17" t="s">
        <v>200</v>
      </c>
      <c r="G16" s="17" t="s">
        <v>201</v>
      </c>
    </row>
    <row r="17" spans="1:7" x14ac:dyDescent="0.2">
      <c r="A17" s="19">
        <v>12</v>
      </c>
      <c r="B17" s="20">
        <v>46420</v>
      </c>
      <c r="C17" s="21" t="s">
        <v>202</v>
      </c>
      <c r="D17" s="61">
        <f t="shared" si="1"/>
        <v>223.7</v>
      </c>
      <c r="E17" s="22">
        <v>26.2</v>
      </c>
      <c r="F17" s="21" t="s">
        <v>203</v>
      </c>
      <c r="G17" s="21" t="s">
        <v>204</v>
      </c>
    </row>
  </sheetData>
  <mergeCells count="2">
    <mergeCell ref="A1:H2"/>
    <mergeCell ref="A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66"/>
  <sheetViews>
    <sheetView tabSelected="1" topLeftCell="E1" zoomScale="130" zoomScaleNormal="130" workbookViewId="0">
      <pane ySplit="1" topLeftCell="A23" activePane="bottomLeft" state="frozen"/>
      <selection activeCell="W16" sqref="W16"/>
      <selection pane="bottomLeft" activeCell="F51" sqref="F51"/>
    </sheetView>
  </sheetViews>
  <sheetFormatPr baseColWidth="10" defaultColWidth="8.83203125" defaultRowHeight="15" x14ac:dyDescent="0.2"/>
  <cols>
    <col min="1" max="1" width="8" style="34" customWidth="1"/>
    <col min="2" max="2" width="20" style="34" customWidth="1"/>
    <col min="3" max="3" width="13" style="34" customWidth="1"/>
    <col min="4" max="5" width="10" style="34" customWidth="1"/>
    <col min="6" max="6" width="16" style="34" customWidth="1"/>
    <col min="7" max="7" width="34" style="34" customWidth="1"/>
    <col min="8" max="8" width="11" style="34" customWidth="1"/>
    <col min="9" max="9" width="12.6640625" style="34" customWidth="1"/>
    <col min="10" max="10" width="11" style="34" customWidth="1"/>
    <col min="11" max="11" width="15" style="34" customWidth="1"/>
    <col min="12" max="12" width="11" style="34" customWidth="1"/>
    <col min="13" max="13" width="14.6640625" style="34" customWidth="1"/>
    <col min="14" max="14" width="15.5" style="34" customWidth="1"/>
    <col min="15" max="15" width="11.5" style="34" customWidth="1"/>
    <col min="16" max="16" width="9" style="34" customWidth="1"/>
    <col min="17" max="17" width="28" style="34" customWidth="1"/>
    <col min="18" max="18" width="15.6640625" style="34" customWidth="1"/>
    <col min="19" max="19" width="15.5" style="34" customWidth="1"/>
    <col min="20" max="20" width="14.33203125" style="34" customWidth="1"/>
    <col min="21" max="22" width="12" style="34" customWidth="1"/>
    <col min="23" max="16384" width="8.83203125" style="34"/>
  </cols>
  <sheetData>
    <row r="1" spans="1:22" ht="30" customHeight="1" x14ac:dyDescent="0.2">
      <c r="A1" s="46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232</v>
      </c>
      <c r="K1" s="47" t="s">
        <v>9</v>
      </c>
      <c r="L1" s="47" t="s">
        <v>10</v>
      </c>
      <c r="M1" s="47" t="s">
        <v>11</v>
      </c>
      <c r="N1" s="47" t="s">
        <v>12</v>
      </c>
      <c r="O1" s="47" t="s">
        <v>13</v>
      </c>
      <c r="P1" s="47" t="s">
        <v>14</v>
      </c>
      <c r="Q1" s="47" t="s">
        <v>15</v>
      </c>
      <c r="R1" s="47" t="s">
        <v>16</v>
      </c>
      <c r="S1" s="47" t="s">
        <v>17</v>
      </c>
      <c r="T1" s="47" t="s">
        <v>18</v>
      </c>
      <c r="U1" s="47" t="s">
        <v>19</v>
      </c>
      <c r="V1" s="48" t="s">
        <v>20</v>
      </c>
    </row>
    <row r="2" spans="1:22" x14ac:dyDescent="0.2">
      <c r="A2" s="44">
        <v>1</v>
      </c>
      <c r="B2" s="35" t="s">
        <v>21</v>
      </c>
      <c r="C2" s="36">
        <f>Controls!$B$6</f>
        <v>46089</v>
      </c>
      <c r="D2" s="35" t="s">
        <v>22</v>
      </c>
      <c r="E2" s="37">
        <v>25</v>
      </c>
      <c r="F2" s="35" t="s">
        <v>23</v>
      </c>
      <c r="G2" s="35" t="s">
        <v>24</v>
      </c>
      <c r="H2" s="37">
        <v>30</v>
      </c>
      <c r="I2" s="38"/>
      <c r="J2" s="38" t="str">
        <f>IFERROR(TEXT(H2 / I2 / 1440, "m:ss"),"")</f>
        <v/>
      </c>
      <c r="K2" s="35" t="s">
        <v>25</v>
      </c>
      <c r="L2" s="35" t="s">
        <v>26</v>
      </c>
      <c r="M2" s="39">
        <v>25</v>
      </c>
      <c r="N2" s="39">
        <v>30</v>
      </c>
      <c r="O2" s="40"/>
      <c r="P2" s="41">
        <v>5</v>
      </c>
      <c r="Q2" s="41"/>
      <c r="R2" s="42">
        <f t="shared" ref="R2:R65" si="0">IF(L2="Done",1,IF(L2="Partial",0.5,IF(L2="Rest",1,0)))</f>
        <v>1</v>
      </c>
      <c r="S2" s="43">
        <f t="shared" ref="S2:S65" si="1">E2+H2</f>
        <v>55</v>
      </c>
      <c r="T2" s="43">
        <f t="shared" ref="T2:T65" si="2">IF(OR(M2&lt;&gt;"",N2&lt;&gt;""),M2+N2,"")</f>
        <v>55</v>
      </c>
      <c r="U2" s="42" t="str">
        <f t="shared" ref="U2:U65" si="3">IF(O2="","",O2-I2)</f>
        <v/>
      </c>
      <c r="V2" s="45">
        <f>(SUM($I$2)-SUM($O$2))</f>
        <v>0</v>
      </c>
    </row>
    <row r="3" spans="1:22" x14ac:dyDescent="0.2">
      <c r="A3" s="44">
        <v>1</v>
      </c>
      <c r="B3" s="35" t="s">
        <v>21</v>
      </c>
      <c r="C3" s="36">
        <f t="shared" ref="C3:C66" si="4">C2+1</f>
        <v>46090</v>
      </c>
      <c r="D3" s="35" t="s">
        <v>27</v>
      </c>
      <c r="E3" s="37">
        <v>20</v>
      </c>
      <c r="F3" s="35" t="s">
        <v>28</v>
      </c>
      <c r="G3" s="35" t="s">
        <v>29</v>
      </c>
      <c r="H3" s="37">
        <v>30</v>
      </c>
      <c r="I3" s="38">
        <v>1.7</v>
      </c>
      <c r="J3" s="38" t="str">
        <f>IFERROR(TEXT(H3 / I3 / 1440, "m:ss"),"")</f>
        <v>17:39</v>
      </c>
      <c r="K3" s="35" t="s">
        <v>30</v>
      </c>
      <c r="L3" s="35" t="s">
        <v>26</v>
      </c>
      <c r="M3" s="39">
        <v>0</v>
      </c>
      <c r="N3" s="39">
        <v>49</v>
      </c>
      <c r="O3" s="40">
        <f>1.08+0.98</f>
        <v>2.06</v>
      </c>
      <c r="P3" s="41">
        <v>4</v>
      </c>
      <c r="Q3" s="41"/>
      <c r="R3" s="42">
        <f t="shared" si="0"/>
        <v>1</v>
      </c>
      <c r="S3" s="43">
        <f t="shared" si="1"/>
        <v>50</v>
      </c>
      <c r="T3" s="43">
        <f t="shared" si="2"/>
        <v>49</v>
      </c>
      <c r="U3" s="42">
        <f t="shared" si="3"/>
        <v>0.3600000000000001</v>
      </c>
      <c r="V3" s="45">
        <f>(SUM($O$2:O3)-SUM($I$2:I3))</f>
        <v>0.3600000000000001</v>
      </c>
    </row>
    <row r="4" spans="1:22" x14ac:dyDescent="0.2">
      <c r="A4" s="44">
        <v>1</v>
      </c>
      <c r="B4" s="35" t="s">
        <v>21</v>
      </c>
      <c r="C4" s="36">
        <f t="shared" si="4"/>
        <v>46091</v>
      </c>
      <c r="D4" s="35" t="s">
        <v>31</v>
      </c>
      <c r="E4" s="37">
        <v>20</v>
      </c>
      <c r="F4" s="35" t="s">
        <v>32</v>
      </c>
      <c r="G4" s="35" t="s">
        <v>33</v>
      </c>
      <c r="H4" s="37">
        <v>20</v>
      </c>
      <c r="I4" s="38"/>
      <c r="J4" s="38" t="str">
        <f t="shared" ref="J4:J67" si="5">IFERROR(TEXT(H4 / I4 / 1440, "m:ss"),"")</f>
        <v/>
      </c>
      <c r="K4" s="35" t="s">
        <v>34</v>
      </c>
      <c r="L4" s="35" t="s">
        <v>26</v>
      </c>
      <c r="M4" s="39">
        <v>21</v>
      </c>
      <c r="N4" s="39">
        <v>20</v>
      </c>
      <c r="O4" s="40"/>
      <c r="P4" s="41"/>
      <c r="Q4" s="41"/>
      <c r="R4" s="42">
        <f t="shared" si="0"/>
        <v>1</v>
      </c>
      <c r="S4" s="43">
        <f t="shared" si="1"/>
        <v>40</v>
      </c>
      <c r="T4" s="43">
        <f t="shared" si="2"/>
        <v>41</v>
      </c>
      <c r="U4" s="42" t="str">
        <f t="shared" si="3"/>
        <v/>
      </c>
      <c r="V4" s="45">
        <f>(SUM($O$2:O4)-SUM($I$2:I4))</f>
        <v>0.3600000000000001</v>
      </c>
    </row>
    <row r="5" spans="1:22" x14ac:dyDescent="0.2">
      <c r="A5" s="44">
        <v>1</v>
      </c>
      <c r="B5" s="35" t="s">
        <v>21</v>
      </c>
      <c r="C5" s="36">
        <f t="shared" si="4"/>
        <v>46092</v>
      </c>
      <c r="D5" s="35" t="s">
        <v>35</v>
      </c>
      <c r="E5" s="37">
        <v>25</v>
      </c>
      <c r="F5" s="35" t="s">
        <v>28</v>
      </c>
      <c r="G5" s="35" t="s">
        <v>36</v>
      </c>
      <c r="H5" s="37">
        <v>35</v>
      </c>
      <c r="I5" s="38">
        <v>1.9</v>
      </c>
      <c r="J5" s="38" t="str">
        <f t="shared" si="5"/>
        <v>18:25</v>
      </c>
      <c r="K5" s="35" t="s">
        <v>30</v>
      </c>
      <c r="L5" s="35" t="s">
        <v>26</v>
      </c>
      <c r="M5" s="39">
        <v>19</v>
      </c>
      <c r="N5" s="39">
        <v>35</v>
      </c>
      <c r="O5" s="40">
        <f>1.74+0.25</f>
        <v>1.99</v>
      </c>
      <c r="P5" s="41">
        <v>6</v>
      </c>
      <c r="Q5" s="41"/>
      <c r="R5" s="42">
        <f t="shared" si="0"/>
        <v>1</v>
      </c>
      <c r="S5" s="43">
        <f t="shared" si="1"/>
        <v>60</v>
      </c>
      <c r="T5" s="43">
        <f t="shared" si="2"/>
        <v>54</v>
      </c>
      <c r="U5" s="42">
        <f t="shared" si="3"/>
        <v>9.000000000000008E-2</v>
      </c>
      <c r="V5" s="45">
        <f>(SUM($O$2:O5)-SUM($I$2:I5))</f>
        <v>0.45000000000000018</v>
      </c>
    </row>
    <row r="6" spans="1:22" x14ac:dyDescent="0.2">
      <c r="A6" s="44">
        <v>1</v>
      </c>
      <c r="B6" s="35" t="s">
        <v>21</v>
      </c>
      <c r="C6" s="36">
        <f t="shared" si="4"/>
        <v>46093</v>
      </c>
      <c r="D6" s="35" t="s">
        <v>37</v>
      </c>
      <c r="E6" s="37">
        <v>30</v>
      </c>
      <c r="F6" s="35" t="s">
        <v>23</v>
      </c>
      <c r="G6" s="35" t="s">
        <v>38</v>
      </c>
      <c r="H6" s="37">
        <v>25</v>
      </c>
      <c r="I6" s="38"/>
      <c r="J6" s="38" t="str">
        <f t="shared" si="5"/>
        <v/>
      </c>
      <c r="K6" s="35" t="s">
        <v>39</v>
      </c>
      <c r="L6" s="35" t="s">
        <v>26</v>
      </c>
      <c r="M6" s="39">
        <v>20</v>
      </c>
      <c r="N6" s="39">
        <v>20</v>
      </c>
      <c r="O6" s="40"/>
      <c r="P6" s="41">
        <v>7</v>
      </c>
      <c r="Q6" s="41"/>
      <c r="R6" s="42">
        <f t="shared" si="0"/>
        <v>1</v>
      </c>
      <c r="S6" s="43">
        <f t="shared" si="1"/>
        <v>55</v>
      </c>
      <c r="T6" s="43">
        <f t="shared" si="2"/>
        <v>40</v>
      </c>
      <c r="U6" s="42" t="str">
        <f t="shared" si="3"/>
        <v/>
      </c>
      <c r="V6" s="45">
        <f>(SUM($O$2:O6)-SUM($I$2:I6))</f>
        <v>0.45000000000000018</v>
      </c>
    </row>
    <row r="7" spans="1:22" x14ac:dyDescent="0.2">
      <c r="A7" s="44">
        <v>1</v>
      </c>
      <c r="B7" s="35" t="s">
        <v>21</v>
      </c>
      <c r="C7" s="36">
        <f t="shared" si="4"/>
        <v>46094</v>
      </c>
      <c r="D7" s="35" t="s">
        <v>40</v>
      </c>
      <c r="E7" s="37">
        <v>15</v>
      </c>
      <c r="F7" s="35" t="s">
        <v>41</v>
      </c>
      <c r="G7" s="35" t="s">
        <v>42</v>
      </c>
      <c r="H7" s="37">
        <v>20</v>
      </c>
      <c r="I7" s="38">
        <v>0</v>
      </c>
      <c r="J7" s="38" t="str">
        <f t="shared" si="5"/>
        <v/>
      </c>
      <c r="K7" s="35" t="s">
        <v>39</v>
      </c>
      <c r="L7" s="35" t="s">
        <v>43</v>
      </c>
      <c r="M7" s="39"/>
      <c r="N7" s="39"/>
      <c r="O7" s="40"/>
      <c r="P7" s="41"/>
      <c r="Q7" s="41"/>
      <c r="R7" s="42">
        <f t="shared" si="0"/>
        <v>1</v>
      </c>
      <c r="S7" s="43">
        <f t="shared" si="1"/>
        <v>35</v>
      </c>
      <c r="T7" s="43" t="str">
        <f t="shared" si="2"/>
        <v/>
      </c>
      <c r="U7" s="42" t="str">
        <f t="shared" si="3"/>
        <v/>
      </c>
      <c r="V7" s="45">
        <f>(SUM($O$2:O7)-SUM($I$2:I7))</f>
        <v>0.45000000000000018</v>
      </c>
    </row>
    <row r="8" spans="1:22" x14ac:dyDescent="0.2">
      <c r="A8" s="44">
        <v>1</v>
      </c>
      <c r="B8" s="35" t="s">
        <v>21</v>
      </c>
      <c r="C8" s="36">
        <f t="shared" si="4"/>
        <v>46095</v>
      </c>
      <c r="D8" s="35" t="s">
        <v>44</v>
      </c>
      <c r="E8" s="37">
        <v>15</v>
      </c>
      <c r="F8" s="35" t="s">
        <v>45</v>
      </c>
      <c r="G8" s="35" t="s">
        <v>46</v>
      </c>
      <c r="H8" s="37">
        <v>40</v>
      </c>
      <c r="I8" s="38">
        <v>2.2000000000000002</v>
      </c>
      <c r="J8" s="38" t="str">
        <f t="shared" si="5"/>
        <v>18:11</v>
      </c>
      <c r="K8" s="35" t="s">
        <v>47</v>
      </c>
      <c r="L8" s="35" t="s">
        <v>26</v>
      </c>
      <c r="M8" s="39">
        <v>15</v>
      </c>
      <c r="N8" s="39">
        <v>45</v>
      </c>
      <c r="O8" s="40">
        <v>2.5</v>
      </c>
      <c r="P8" s="41">
        <v>7</v>
      </c>
      <c r="Q8" s="41"/>
      <c r="R8" s="42">
        <f t="shared" si="0"/>
        <v>1</v>
      </c>
      <c r="S8" s="43">
        <f t="shared" si="1"/>
        <v>55</v>
      </c>
      <c r="T8" s="43">
        <f t="shared" si="2"/>
        <v>60</v>
      </c>
      <c r="U8" s="42">
        <f t="shared" si="3"/>
        <v>0.29999999999999982</v>
      </c>
      <c r="V8" s="45">
        <f>(SUM($O$2:O8)-SUM($I$2:I8))</f>
        <v>0.75</v>
      </c>
    </row>
    <row r="9" spans="1:22" x14ac:dyDescent="0.2">
      <c r="A9" s="44">
        <v>2</v>
      </c>
      <c r="B9" s="35" t="s">
        <v>21</v>
      </c>
      <c r="C9" s="36">
        <f t="shared" si="4"/>
        <v>46096</v>
      </c>
      <c r="D9" s="35" t="s">
        <v>22</v>
      </c>
      <c r="E9" s="37">
        <v>30</v>
      </c>
      <c r="F9" s="35" t="s">
        <v>23</v>
      </c>
      <c r="G9" s="35" t="s">
        <v>24</v>
      </c>
      <c r="H9" s="37">
        <v>30</v>
      </c>
      <c r="I9" s="38"/>
      <c r="J9" s="38" t="str">
        <f t="shared" si="5"/>
        <v/>
      </c>
      <c r="K9" s="35" t="s">
        <v>25</v>
      </c>
      <c r="L9" s="35" t="s">
        <v>26</v>
      </c>
      <c r="M9" s="39">
        <v>45</v>
      </c>
      <c r="N9" s="39">
        <v>15</v>
      </c>
      <c r="O9" s="40">
        <v>0.8</v>
      </c>
      <c r="P9" s="41"/>
      <c r="Q9" s="41"/>
      <c r="R9" s="42">
        <f t="shared" si="0"/>
        <v>1</v>
      </c>
      <c r="S9" s="43">
        <f t="shared" si="1"/>
        <v>60</v>
      </c>
      <c r="T9" s="43">
        <f t="shared" si="2"/>
        <v>60</v>
      </c>
      <c r="U9" s="42">
        <f t="shared" si="3"/>
        <v>0.8</v>
      </c>
      <c r="V9" s="45">
        <f>(SUM($O$2:O9)-SUM($I$2:I9))</f>
        <v>1.5499999999999998</v>
      </c>
    </row>
    <row r="10" spans="1:22" x14ac:dyDescent="0.2">
      <c r="A10" s="44">
        <v>2</v>
      </c>
      <c r="B10" s="35" t="s">
        <v>21</v>
      </c>
      <c r="C10" s="36">
        <f t="shared" si="4"/>
        <v>46097</v>
      </c>
      <c r="D10" s="35" t="s">
        <v>27</v>
      </c>
      <c r="E10" s="37">
        <v>30</v>
      </c>
      <c r="F10" s="35" t="s">
        <v>48</v>
      </c>
      <c r="G10" s="35" t="s">
        <v>49</v>
      </c>
      <c r="H10" s="37">
        <v>0</v>
      </c>
      <c r="I10" s="38">
        <v>0</v>
      </c>
      <c r="J10" s="38" t="str">
        <f t="shared" si="5"/>
        <v/>
      </c>
      <c r="K10" s="35" t="s">
        <v>30</v>
      </c>
      <c r="L10" s="35" t="s">
        <v>43</v>
      </c>
      <c r="M10" s="39"/>
      <c r="N10" s="39"/>
      <c r="O10" s="40"/>
      <c r="P10" s="41"/>
      <c r="Q10" s="41"/>
      <c r="R10" s="42">
        <f t="shared" si="0"/>
        <v>1</v>
      </c>
      <c r="S10" s="43">
        <f t="shared" si="1"/>
        <v>30</v>
      </c>
      <c r="T10" s="43" t="str">
        <f t="shared" si="2"/>
        <v/>
      </c>
      <c r="U10" s="42" t="str">
        <f t="shared" si="3"/>
        <v/>
      </c>
      <c r="V10" s="45">
        <f>(SUM($O$2:O10)-SUM($I$2:I10))</f>
        <v>1.5499999999999998</v>
      </c>
    </row>
    <row r="11" spans="1:22" x14ac:dyDescent="0.2">
      <c r="A11" s="44">
        <v>2</v>
      </c>
      <c r="B11" s="35" t="s">
        <v>21</v>
      </c>
      <c r="C11" s="36">
        <f t="shared" si="4"/>
        <v>46098</v>
      </c>
      <c r="D11" s="35" t="s">
        <v>31</v>
      </c>
      <c r="E11" s="37">
        <v>40</v>
      </c>
      <c r="F11" s="35" t="s">
        <v>32</v>
      </c>
      <c r="G11" s="35" t="s">
        <v>33</v>
      </c>
      <c r="H11" s="37">
        <v>20</v>
      </c>
      <c r="I11" s="38"/>
      <c r="J11" s="38" t="str">
        <f t="shared" si="5"/>
        <v/>
      </c>
      <c r="K11" s="35" t="s">
        <v>34</v>
      </c>
      <c r="L11" s="35" t="s">
        <v>50</v>
      </c>
      <c r="M11" s="39"/>
      <c r="N11" s="39"/>
      <c r="O11" s="40"/>
      <c r="P11" s="41"/>
      <c r="Q11" s="41"/>
      <c r="R11" s="42">
        <f t="shared" si="0"/>
        <v>0</v>
      </c>
      <c r="S11" s="43">
        <f t="shared" si="1"/>
        <v>60</v>
      </c>
      <c r="T11" s="43" t="str">
        <f t="shared" si="2"/>
        <v/>
      </c>
      <c r="U11" s="42" t="str">
        <f t="shared" si="3"/>
        <v/>
      </c>
      <c r="V11" s="45">
        <f>(SUM($O$2:O11)-SUM($I$2:I11))</f>
        <v>1.5499999999999998</v>
      </c>
    </row>
    <row r="12" spans="1:22" x14ac:dyDescent="0.2">
      <c r="A12" s="44">
        <v>2</v>
      </c>
      <c r="B12" s="35" t="s">
        <v>21</v>
      </c>
      <c r="C12" s="36">
        <f t="shared" si="4"/>
        <v>46099</v>
      </c>
      <c r="D12" s="35" t="s">
        <v>35</v>
      </c>
      <c r="E12" s="37">
        <v>25</v>
      </c>
      <c r="F12" s="35" t="s">
        <v>28</v>
      </c>
      <c r="G12" s="35" t="s">
        <v>36</v>
      </c>
      <c r="H12" s="37">
        <v>35</v>
      </c>
      <c r="I12" s="38">
        <v>1.9</v>
      </c>
      <c r="J12" s="38" t="str">
        <f t="shared" si="5"/>
        <v>18:25</v>
      </c>
      <c r="K12" s="35" t="s">
        <v>30</v>
      </c>
      <c r="L12" s="35" t="s">
        <v>26</v>
      </c>
      <c r="M12" s="39">
        <v>20</v>
      </c>
      <c r="N12" s="39">
        <v>35</v>
      </c>
      <c r="O12" s="40">
        <v>1.6</v>
      </c>
      <c r="P12" s="41"/>
      <c r="Q12" s="41"/>
      <c r="R12" s="42">
        <f t="shared" si="0"/>
        <v>1</v>
      </c>
      <c r="S12" s="43">
        <f t="shared" si="1"/>
        <v>60</v>
      </c>
      <c r="T12" s="43">
        <f t="shared" si="2"/>
        <v>55</v>
      </c>
      <c r="U12" s="42">
        <f t="shared" si="3"/>
        <v>-0.29999999999999982</v>
      </c>
      <c r="V12" s="45">
        <f>(SUM($O$2:O12)-SUM($I$2:I12))</f>
        <v>1.25</v>
      </c>
    </row>
    <row r="13" spans="1:22" x14ac:dyDescent="0.2">
      <c r="A13" s="44">
        <v>2</v>
      </c>
      <c r="B13" s="35" t="s">
        <v>21</v>
      </c>
      <c r="C13" s="36">
        <f t="shared" si="4"/>
        <v>46100</v>
      </c>
      <c r="D13" s="35" t="s">
        <v>37</v>
      </c>
      <c r="E13" s="37">
        <v>50</v>
      </c>
      <c r="F13" s="35" t="s">
        <v>23</v>
      </c>
      <c r="G13" s="35" t="s">
        <v>38</v>
      </c>
      <c r="H13" s="37">
        <v>25</v>
      </c>
      <c r="I13" s="38"/>
      <c r="J13" s="38" t="str">
        <f t="shared" si="5"/>
        <v/>
      </c>
      <c r="K13" s="35" t="s">
        <v>39</v>
      </c>
      <c r="L13" s="35" t="s">
        <v>26</v>
      </c>
      <c r="M13" s="39">
        <v>50</v>
      </c>
      <c r="N13" s="39"/>
      <c r="O13" s="40"/>
      <c r="P13" s="41"/>
      <c r="Q13" s="41"/>
      <c r="R13" s="42">
        <f t="shared" si="0"/>
        <v>1</v>
      </c>
      <c r="S13" s="43">
        <f t="shared" si="1"/>
        <v>75</v>
      </c>
      <c r="T13" s="43">
        <f t="shared" si="2"/>
        <v>50</v>
      </c>
      <c r="U13" s="42" t="str">
        <f t="shared" si="3"/>
        <v/>
      </c>
      <c r="V13" s="45">
        <f>(SUM($O$2:O13)-SUM($I$2:I13))</f>
        <v>1.25</v>
      </c>
    </row>
    <row r="14" spans="1:22" x14ac:dyDescent="0.2">
      <c r="A14" s="44">
        <v>2</v>
      </c>
      <c r="B14" s="35" t="s">
        <v>21</v>
      </c>
      <c r="C14" s="36">
        <f t="shared" si="4"/>
        <v>46101</v>
      </c>
      <c r="D14" s="35" t="s">
        <v>40</v>
      </c>
      <c r="E14" s="37">
        <v>15</v>
      </c>
      <c r="F14" s="35" t="s">
        <v>45</v>
      </c>
      <c r="G14" s="35" t="s">
        <v>46</v>
      </c>
      <c r="H14" s="37">
        <v>45</v>
      </c>
      <c r="I14" s="38">
        <v>2.5</v>
      </c>
      <c r="J14" s="38" t="str">
        <f t="shared" si="5"/>
        <v>18:00</v>
      </c>
      <c r="K14" s="35" t="s">
        <v>47</v>
      </c>
      <c r="L14" s="35" t="s">
        <v>26</v>
      </c>
      <c r="M14" s="39">
        <v>14</v>
      </c>
      <c r="N14" s="39">
        <v>45</v>
      </c>
      <c r="O14" s="40">
        <v>2.52</v>
      </c>
      <c r="P14" s="41">
        <v>8</v>
      </c>
      <c r="Q14" s="41"/>
      <c r="R14" s="42">
        <f t="shared" si="0"/>
        <v>1</v>
      </c>
      <c r="S14" s="43">
        <f t="shared" si="1"/>
        <v>60</v>
      </c>
      <c r="T14" s="43">
        <f t="shared" si="2"/>
        <v>59</v>
      </c>
      <c r="U14" s="42">
        <f t="shared" si="3"/>
        <v>2.0000000000000018E-2</v>
      </c>
      <c r="V14" s="45">
        <f>(SUM($O$2:O14)-SUM($I$2:I14))</f>
        <v>1.2699999999999996</v>
      </c>
    </row>
    <row r="15" spans="1:22" x14ac:dyDescent="0.2">
      <c r="A15" s="44">
        <v>2</v>
      </c>
      <c r="B15" s="35" t="s">
        <v>21</v>
      </c>
      <c r="C15" s="36">
        <f t="shared" si="4"/>
        <v>46102</v>
      </c>
      <c r="D15" s="35" t="s">
        <v>44</v>
      </c>
      <c r="E15" s="37">
        <v>15</v>
      </c>
      <c r="F15" s="35" t="s">
        <v>41</v>
      </c>
      <c r="G15" s="35" t="s">
        <v>42</v>
      </c>
      <c r="H15" s="37">
        <v>20</v>
      </c>
      <c r="I15" s="38">
        <v>1</v>
      </c>
      <c r="J15" s="38" t="str">
        <f t="shared" si="5"/>
        <v>20:00</v>
      </c>
      <c r="K15" s="35" t="s">
        <v>39</v>
      </c>
      <c r="L15" s="35" t="s">
        <v>26</v>
      </c>
      <c r="M15" s="39">
        <v>45</v>
      </c>
      <c r="N15" s="39">
        <v>0</v>
      </c>
      <c r="O15" s="40">
        <v>0</v>
      </c>
      <c r="P15" s="41"/>
      <c r="Q15" s="41"/>
      <c r="R15" s="42">
        <f t="shared" si="0"/>
        <v>1</v>
      </c>
      <c r="S15" s="43">
        <f t="shared" si="1"/>
        <v>35</v>
      </c>
      <c r="T15" s="43">
        <f t="shared" si="2"/>
        <v>45</v>
      </c>
      <c r="U15" s="42">
        <f t="shared" si="3"/>
        <v>-1</v>
      </c>
      <c r="V15" s="45">
        <f>(SUM($O$2:O15)-SUM($I$2:I15))</f>
        <v>0.26999999999999957</v>
      </c>
    </row>
    <row r="16" spans="1:22" x14ac:dyDescent="0.2">
      <c r="A16" s="44">
        <v>3</v>
      </c>
      <c r="B16" s="35" t="s">
        <v>21</v>
      </c>
      <c r="C16" s="36">
        <f t="shared" si="4"/>
        <v>46103</v>
      </c>
      <c r="D16" s="35" t="s">
        <v>22</v>
      </c>
      <c r="E16" s="37">
        <v>30</v>
      </c>
      <c r="F16" s="35" t="s">
        <v>45</v>
      </c>
      <c r="G16" s="35" t="s">
        <v>46</v>
      </c>
      <c r="H16" s="37">
        <v>20</v>
      </c>
      <c r="I16" s="38">
        <v>0</v>
      </c>
      <c r="J16" s="38" t="str">
        <f t="shared" si="5"/>
        <v/>
      </c>
      <c r="K16" s="35" t="s">
        <v>47</v>
      </c>
      <c r="L16" s="35" t="s">
        <v>26</v>
      </c>
      <c r="M16" s="39">
        <v>30</v>
      </c>
      <c r="N16" s="39">
        <v>20</v>
      </c>
      <c r="O16" s="40"/>
      <c r="P16" s="41"/>
      <c r="Q16" s="41"/>
      <c r="R16" s="42">
        <f t="shared" si="0"/>
        <v>1</v>
      </c>
      <c r="S16" s="43">
        <f t="shared" si="1"/>
        <v>50</v>
      </c>
      <c r="T16" s="43">
        <f t="shared" si="2"/>
        <v>50</v>
      </c>
      <c r="U16" s="42" t="str">
        <f t="shared" si="3"/>
        <v/>
      </c>
      <c r="V16" s="45">
        <f>(SUM($O$2:O16)-SUM($I$2:I16))</f>
        <v>0.26999999999999957</v>
      </c>
    </row>
    <row r="17" spans="1:22" x14ac:dyDescent="0.2">
      <c r="A17" s="44">
        <v>3</v>
      </c>
      <c r="B17" s="35" t="s">
        <v>21</v>
      </c>
      <c r="C17" s="36">
        <f t="shared" si="4"/>
        <v>46104</v>
      </c>
      <c r="D17" s="35" t="s">
        <v>27</v>
      </c>
      <c r="E17" s="37">
        <v>0</v>
      </c>
      <c r="F17" s="35" t="s">
        <v>48</v>
      </c>
      <c r="G17" s="35" t="s">
        <v>51</v>
      </c>
      <c r="H17" s="37">
        <v>0</v>
      </c>
      <c r="I17" s="38">
        <v>0</v>
      </c>
      <c r="J17" s="38" t="str">
        <f t="shared" si="5"/>
        <v/>
      </c>
      <c r="K17" s="35" t="s">
        <v>39</v>
      </c>
      <c r="L17" s="35" t="s">
        <v>43</v>
      </c>
      <c r="M17" s="39"/>
      <c r="N17" s="39"/>
      <c r="O17" s="40"/>
      <c r="P17" s="41"/>
      <c r="Q17" s="41"/>
      <c r="R17" s="42">
        <f t="shared" si="0"/>
        <v>1</v>
      </c>
      <c r="S17" s="43">
        <f t="shared" si="1"/>
        <v>0</v>
      </c>
      <c r="T17" s="43" t="str">
        <f t="shared" si="2"/>
        <v/>
      </c>
      <c r="U17" s="42" t="str">
        <f t="shared" si="3"/>
        <v/>
      </c>
      <c r="V17" s="45">
        <f>(SUM($O$2:O17)-SUM($I$2:I17))</f>
        <v>0.26999999999999957</v>
      </c>
    </row>
    <row r="18" spans="1:22" x14ac:dyDescent="0.2">
      <c r="A18" s="44">
        <v>3</v>
      </c>
      <c r="B18" s="35" t="s">
        <v>21</v>
      </c>
      <c r="C18" s="36">
        <f t="shared" si="4"/>
        <v>46105</v>
      </c>
      <c r="D18" s="35" t="s">
        <v>31</v>
      </c>
      <c r="E18" s="37">
        <v>30</v>
      </c>
      <c r="F18" s="35" t="s">
        <v>28</v>
      </c>
      <c r="G18" s="35" t="s">
        <v>52</v>
      </c>
      <c r="H18" s="37">
        <v>30</v>
      </c>
      <c r="I18" s="38">
        <v>1.5</v>
      </c>
      <c r="J18" s="38" t="str">
        <f t="shared" si="5"/>
        <v>20:00</v>
      </c>
      <c r="K18" s="35" t="s">
        <v>53</v>
      </c>
      <c r="L18" s="35" t="s">
        <v>26</v>
      </c>
      <c r="M18" s="39">
        <v>20</v>
      </c>
      <c r="N18" s="39">
        <v>30</v>
      </c>
      <c r="O18" s="40">
        <v>1.52</v>
      </c>
      <c r="P18" s="41"/>
      <c r="Q18" s="41"/>
      <c r="R18" s="42">
        <f t="shared" si="0"/>
        <v>1</v>
      </c>
      <c r="S18" s="43">
        <f t="shared" si="1"/>
        <v>60</v>
      </c>
      <c r="T18" s="43">
        <f t="shared" si="2"/>
        <v>50</v>
      </c>
      <c r="U18" s="42">
        <f t="shared" si="3"/>
        <v>2.0000000000000018E-2</v>
      </c>
      <c r="V18" s="45">
        <f>(SUM($O$2:O18)-SUM($I$2:I18))</f>
        <v>0.28999999999999915</v>
      </c>
    </row>
    <row r="19" spans="1:22" x14ac:dyDescent="0.2">
      <c r="A19" s="44">
        <v>3</v>
      </c>
      <c r="B19" s="35" t="s">
        <v>21</v>
      </c>
      <c r="C19" s="36">
        <f t="shared" si="4"/>
        <v>46106</v>
      </c>
      <c r="D19" s="35" t="s">
        <v>35</v>
      </c>
      <c r="E19" s="37">
        <v>20</v>
      </c>
      <c r="F19" s="35" t="s">
        <v>32</v>
      </c>
      <c r="G19" s="35" t="s">
        <v>54</v>
      </c>
      <c r="H19" s="37">
        <v>20</v>
      </c>
      <c r="I19" s="38"/>
      <c r="J19" s="38" t="str">
        <f t="shared" si="5"/>
        <v/>
      </c>
      <c r="K19" s="35" t="s">
        <v>55</v>
      </c>
      <c r="L19" s="35" t="s">
        <v>26</v>
      </c>
      <c r="M19" s="39">
        <v>30</v>
      </c>
      <c r="N19" s="39">
        <v>40</v>
      </c>
      <c r="O19" s="40">
        <v>1</v>
      </c>
      <c r="P19" s="41"/>
      <c r="Q19" s="41"/>
      <c r="R19" s="42">
        <f t="shared" si="0"/>
        <v>1</v>
      </c>
      <c r="S19" s="43">
        <f t="shared" si="1"/>
        <v>40</v>
      </c>
      <c r="T19" s="43">
        <f t="shared" si="2"/>
        <v>70</v>
      </c>
      <c r="U19" s="42">
        <f t="shared" si="3"/>
        <v>1</v>
      </c>
      <c r="V19" s="45">
        <f>(SUM($O$2:O19)-SUM($I$2:I19))</f>
        <v>1.2899999999999991</v>
      </c>
    </row>
    <row r="20" spans="1:22" x14ac:dyDescent="0.2">
      <c r="A20" s="44">
        <v>3</v>
      </c>
      <c r="B20" s="35" t="s">
        <v>21</v>
      </c>
      <c r="C20" s="36">
        <f t="shared" si="4"/>
        <v>46107</v>
      </c>
      <c r="D20" s="35" t="s">
        <v>37</v>
      </c>
      <c r="E20" s="37">
        <v>20</v>
      </c>
      <c r="F20" s="35" t="s">
        <v>28</v>
      </c>
      <c r="G20" s="35" t="s">
        <v>56</v>
      </c>
      <c r="H20" s="37">
        <v>40</v>
      </c>
      <c r="I20" s="38">
        <v>2.2000000000000002</v>
      </c>
      <c r="J20" s="38" t="str">
        <f t="shared" si="5"/>
        <v>18:11</v>
      </c>
      <c r="K20" s="35" t="s">
        <v>30</v>
      </c>
      <c r="L20" s="35" t="s">
        <v>26</v>
      </c>
      <c r="M20" s="39">
        <v>0</v>
      </c>
      <c r="N20" s="39">
        <v>45</v>
      </c>
      <c r="O20" s="40">
        <v>2.5</v>
      </c>
      <c r="P20" s="41"/>
      <c r="Q20" s="41"/>
      <c r="R20" s="42">
        <f t="shared" si="0"/>
        <v>1</v>
      </c>
      <c r="S20" s="43">
        <f t="shared" si="1"/>
        <v>60</v>
      </c>
      <c r="T20" s="43">
        <f t="shared" si="2"/>
        <v>45</v>
      </c>
      <c r="U20" s="42">
        <f t="shared" si="3"/>
        <v>0.29999999999999982</v>
      </c>
      <c r="V20" s="45">
        <f>(SUM($O$2:O20)-SUM($I$2:I20))</f>
        <v>1.5899999999999999</v>
      </c>
    </row>
    <row r="21" spans="1:22" x14ac:dyDescent="0.2">
      <c r="A21" s="44">
        <v>3</v>
      </c>
      <c r="B21" s="35" t="s">
        <v>21</v>
      </c>
      <c r="C21" s="36">
        <f t="shared" si="4"/>
        <v>46108</v>
      </c>
      <c r="D21" s="35" t="s">
        <v>40</v>
      </c>
      <c r="E21" s="37">
        <v>50</v>
      </c>
      <c r="F21" s="35" t="s">
        <v>23</v>
      </c>
      <c r="G21" s="35" t="s">
        <v>57</v>
      </c>
      <c r="H21" s="37">
        <v>0</v>
      </c>
      <c r="I21" s="38"/>
      <c r="J21" s="38" t="str">
        <f t="shared" si="5"/>
        <v/>
      </c>
      <c r="K21" s="35" t="s">
        <v>58</v>
      </c>
      <c r="L21" s="35" t="s">
        <v>26</v>
      </c>
      <c r="M21" s="39">
        <v>50</v>
      </c>
      <c r="N21" s="39">
        <v>0</v>
      </c>
      <c r="O21" s="40"/>
      <c r="P21" s="41"/>
      <c r="Q21" s="41"/>
      <c r="R21" s="42">
        <f t="shared" si="0"/>
        <v>1</v>
      </c>
      <c r="S21" s="43">
        <f t="shared" si="1"/>
        <v>50</v>
      </c>
      <c r="T21" s="43">
        <f t="shared" si="2"/>
        <v>50</v>
      </c>
      <c r="U21" s="42" t="str">
        <f t="shared" si="3"/>
        <v/>
      </c>
      <c r="V21" s="45">
        <f>(SUM($O$2:O21)-SUM($I$2:I21))</f>
        <v>1.5899999999999999</v>
      </c>
    </row>
    <row r="22" spans="1:22" x14ac:dyDescent="0.2">
      <c r="A22" s="44">
        <v>3</v>
      </c>
      <c r="B22" s="35" t="s">
        <v>21</v>
      </c>
      <c r="C22" s="36">
        <f t="shared" si="4"/>
        <v>46109</v>
      </c>
      <c r="D22" s="35" t="s">
        <v>44</v>
      </c>
      <c r="E22" s="37">
        <v>15</v>
      </c>
      <c r="F22" s="35" t="s">
        <v>45</v>
      </c>
      <c r="G22" s="35" t="s">
        <v>59</v>
      </c>
      <c r="H22" s="37">
        <v>20</v>
      </c>
      <c r="I22" s="38">
        <v>1</v>
      </c>
      <c r="J22" s="38" t="str">
        <f t="shared" si="5"/>
        <v>20:00</v>
      </c>
      <c r="K22" s="35" t="s">
        <v>60</v>
      </c>
      <c r="L22" s="35" t="s">
        <v>26</v>
      </c>
      <c r="M22" s="39">
        <v>15</v>
      </c>
      <c r="N22" s="39">
        <v>20</v>
      </c>
      <c r="O22" s="40">
        <v>1.1000000000000001</v>
      </c>
      <c r="P22" s="41"/>
      <c r="Q22" s="41"/>
      <c r="R22" s="42">
        <f t="shared" si="0"/>
        <v>1</v>
      </c>
      <c r="S22" s="43">
        <f t="shared" si="1"/>
        <v>35</v>
      </c>
      <c r="T22" s="43">
        <f t="shared" si="2"/>
        <v>35</v>
      </c>
      <c r="U22" s="42">
        <f t="shared" si="3"/>
        <v>0.10000000000000009</v>
      </c>
      <c r="V22" s="45">
        <f>(SUM($O$2:O22)-SUM($I$2:I22))</f>
        <v>1.6900000000000013</v>
      </c>
    </row>
    <row r="23" spans="1:22" x14ac:dyDescent="0.2">
      <c r="A23" s="44">
        <v>4</v>
      </c>
      <c r="B23" s="35" t="s">
        <v>21</v>
      </c>
      <c r="C23" s="36">
        <f t="shared" si="4"/>
        <v>46110</v>
      </c>
      <c r="D23" s="35" t="s">
        <v>22</v>
      </c>
      <c r="E23" s="37">
        <v>50</v>
      </c>
      <c r="F23" s="35" t="s">
        <v>48</v>
      </c>
      <c r="G23" s="35" t="s">
        <v>51</v>
      </c>
      <c r="H23" s="37">
        <v>0</v>
      </c>
      <c r="I23" s="38">
        <v>0</v>
      </c>
      <c r="J23" s="38" t="str">
        <f t="shared" si="5"/>
        <v/>
      </c>
      <c r="K23" s="35" t="s">
        <v>39</v>
      </c>
      <c r="L23" s="35" t="s">
        <v>26</v>
      </c>
      <c r="M23" s="39">
        <v>45</v>
      </c>
      <c r="N23" s="39"/>
      <c r="O23" s="40"/>
      <c r="P23" s="41"/>
      <c r="Q23" s="41"/>
      <c r="R23" s="42">
        <f t="shared" si="0"/>
        <v>1</v>
      </c>
      <c r="S23" s="43">
        <f t="shared" si="1"/>
        <v>50</v>
      </c>
      <c r="T23" s="43">
        <f t="shared" si="2"/>
        <v>45</v>
      </c>
      <c r="U23" s="42" t="str">
        <f t="shared" si="3"/>
        <v/>
      </c>
      <c r="V23" s="45">
        <f>(SUM($O$2:O23)-SUM($I$2:I23))</f>
        <v>1.6900000000000013</v>
      </c>
    </row>
    <row r="24" spans="1:22" x14ac:dyDescent="0.2">
      <c r="A24" s="44">
        <v>4</v>
      </c>
      <c r="B24" s="35" t="s">
        <v>21</v>
      </c>
      <c r="C24" s="36">
        <f t="shared" si="4"/>
        <v>46111</v>
      </c>
      <c r="D24" s="35" t="s">
        <v>27</v>
      </c>
      <c r="E24" s="37">
        <v>0</v>
      </c>
      <c r="F24" s="35" t="s">
        <v>45</v>
      </c>
      <c r="G24" s="35" t="s">
        <v>46</v>
      </c>
      <c r="H24" s="37"/>
      <c r="I24" s="38"/>
      <c r="J24" s="38"/>
      <c r="K24" s="35" t="s">
        <v>47</v>
      </c>
      <c r="L24" s="35" t="s">
        <v>43</v>
      </c>
      <c r="M24" s="39"/>
      <c r="N24" s="39"/>
      <c r="O24" s="40"/>
      <c r="P24" s="41"/>
      <c r="Q24" s="41"/>
      <c r="R24" s="42">
        <f t="shared" si="0"/>
        <v>1</v>
      </c>
      <c r="S24" s="43">
        <f t="shared" si="1"/>
        <v>0</v>
      </c>
      <c r="T24" s="43" t="str">
        <f t="shared" si="2"/>
        <v/>
      </c>
      <c r="U24" s="42" t="str">
        <f t="shared" si="3"/>
        <v/>
      </c>
      <c r="V24" s="45">
        <f>(SUM($O$2:O24)-SUM($I$2:I24))</f>
        <v>1.6900000000000013</v>
      </c>
    </row>
    <row r="25" spans="1:22" x14ac:dyDescent="0.2">
      <c r="A25" s="44">
        <v>4</v>
      </c>
      <c r="B25" s="35" t="s">
        <v>21</v>
      </c>
      <c r="C25" s="36">
        <f t="shared" si="4"/>
        <v>46112</v>
      </c>
      <c r="D25" s="35" t="s">
        <v>31</v>
      </c>
      <c r="E25" s="37">
        <v>0</v>
      </c>
      <c r="F25" s="35" t="s">
        <v>23</v>
      </c>
      <c r="G25" s="35" t="s">
        <v>61</v>
      </c>
      <c r="H25" s="37">
        <v>0</v>
      </c>
      <c r="I25" s="38">
        <v>0</v>
      </c>
      <c r="J25" s="38">
        <v>0</v>
      </c>
      <c r="K25" s="35" t="s">
        <v>53</v>
      </c>
      <c r="L25" s="35" t="s">
        <v>26</v>
      </c>
      <c r="M25" s="39"/>
      <c r="N25" s="39"/>
      <c r="O25" s="40"/>
      <c r="P25" s="41"/>
      <c r="Q25" s="41"/>
      <c r="R25" s="42">
        <f t="shared" si="0"/>
        <v>1</v>
      </c>
      <c r="S25" s="43">
        <f t="shared" si="1"/>
        <v>0</v>
      </c>
      <c r="T25" s="43" t="str">
        <f t="shared" si="2"/>
        <v/>
      </c>
      <c r="U25" s="42" t="str">
        <f t="shared" si="3"/>
        <v/>
      </c>
      <c r="V25" s="45">
        <f>(SUM($O$2:O25)-SUM($I$2:I25))</f>
        <v>1.6900000000000013</v>
      </c>
    </row>
    <row r="26" spans="1:22" x14ac:dyDescent="0.2">
      <c r="A26" s="44">
        <v>4</v>
      </c>
      <c r="B26" s="35" t="s">
        <v>21</v>
      </c>
      <c r="C26" s="36">
        <f t="shared" si="4"/>
        <v>46113</v>
      </c>
      <c r="D26" s="35" t="s">
        <v>35</v>
      </c>
      <c r="E26" s="37">
        <v>0</v>
      </c>
      <c r="F26" s="35" t="s">
        <v>23</v>
      </c>
      <c r="G26" s="35" t="s">
        <v>61</v>
      </c>
      <c r="H26" s="37">
        <v>60</v>
      </c>
      <c r="I26" s="38">
        <v>3.1</v>
      </c>
      <c r="J26" s="38" t="str">
        <f t="shared" ref="J26" si="6">IFERROR(TEXT(H26 / I26 / 1440, "m:ss"),"")</f>
        <v>19:21</v>
      </c>
      <c r="K26" s="35" t="s">
        <v>53</v>
      </c>
      <c r="L26" s="35" t="s">
        <v>26</v>
      </c>
      <c r="M26" s="39">
        <v>0</v>
      </c>
      <c r="N26" s="39">
        <v>60</v>
      </c>
      <c r="O26" s="40">
        <v>3.3</v>
      </c>
      <c r="P26" s="41"/>
      <c r="Q26" s="41"/>
      <c r="R26" s="42">
        <f t="shared" si="0"/>
        <v>1</v>
      </c>
      <c r="S26" s="43">
        <f t="shared" si="1"/>
        <v>60</v>
      </c>
      <c r="T26" s="43">
        <f t="shared" si="2"/>
        <v>60</v>
      </c>
      <c r="U26" s="42">
        <f t="shared" si="3"/>
        <v>0.19999999999999973</v>
      </c>
      <c r="V26" s="45">
        <f>(SUM($O$2:O26)-SUM($I$2:I26))</f>
        <v>1.8900000000000006</v>
      </c>
    </row>
    <row r="27" spans="1:22" x14ac:dyDescent="0.2">
      <c r="A27" s="44">
        <v>4</v>
      </c>
      <c r="B27" s="35" t="s">
        <v>21</v>
      </c>
      <c r="C27" s="36">
        <f t="shared" si="4"/>
        <v>46114</v>
      </c>
      <c r="D27" s="35" t="s">
        <v>37</v>
      </c>
      <c r="E27" s="37">
        <v>50</v>
      </c>
      <c r="F27" s="35" t="s">
        <v>28</v>
      </c>
      <c r="G27" s="35" t="s">
        <v>62</v>
      </c>
      <c r="H27" s="37">
        <v>0</v>
      </c>
      <c r="I27" s="38">
        <v>0</v>
      </c>
      <c r="J27" s="38">
        <v>0</v>
      </c>
      <c r="K27" s="35" t="s">
        <v>30</v>
      </c>
      <c r="L27" s="35" t="s">
        <v>26</v>
      </c>
      <c r="M27" s="39">
        <v>50</v>
      </c>
      <c r="N27" s="39"/>
      <c r="O27" s="40"/>
      <c r="P27" s="41"/>
      <c r="Q27" s="41"/>
      <c r="R27" s="42">
        <f t="shared" si="0"/>
        <v>1</v>
      </c>
      <c r="S27" s="43">
        <f t="shared" si="1"/>
        <v>50</v>
      </c>
      <c r="T27" s="43">
        <f t="shared" si="2"/>
        <v>50</v>
      </c>
      <c r="U27" s="42" t="str">
        <f t="shared" si="3"/>
        <v/>
      </c>
      <c r="V27" s="45">
        <f>(SUM($O$2:O27)-SUM($I$2:I27))</f>
        <v>1.8900000000000006</v>
      </c>
    </row>
    <row r="28" spans="1:22" x14ac:dyDescent="0.2">
      <c r="A28" s="44">
        <v>4</v>
      </c>
      <c r="B28" s="35" t="s">
        <v>21</v>
      </c>
      <c r="C28" s="36">
        <f t="shared" si="4"/>
        <v>46115</v>
      </c>
      <c r="D28" s="35" t="s">
        <v>40</v>
      </c>
      <c r="E28" s="37">
        <v>30</v>
      </c>
      <c r="F28" s="35" t="s">
        <v>32</v>
      </c>
      <c r="G28" s="35" t="s">
        <v>63</v>
      </c>
      <c r="H28" s="37">
        <v>45</v>
      </c>
      <c r="I28" s="38">
        <v>2.2000000000000002</v>
      </c>
      <c r="J28" s="38" t="str">
        <f t="shared" ref="J28" si="7">IFERROR(TEXT(H28 / I28 / 1440, "m:ss"),"")</f>
        <v>20:27</v>
      </c>
      <c r="K28" s="35" t="s">
        <v>58</v>
      </c>
      <c r="L28" s="35" t="s">
        <v>26</v>
      </c>
      <c r="M28" s="39">
        <v>20</v>
      </c>
      <c r="N28" s="39">
        <v>40</v>
      </c>
      <c r="O28" s="40">
        <v>2.2000000000000002</v>
      </c>
      <c r="P28" s="41"/>
      <c r="Q28" s="41"/>
      <c r="R28" s="42">
        <f t="shared" si="0"/>
        <v>1</v>
      </c>
      <c r="S28" s="43">
        <f t="shared" si="1"/>
        <v>75</v>
      </c>
      <c r="T28" s="43">
        <f t="shared" si="2"/>
        <v>60</v>
      </c>
      <c r="U28" s="42">
        <f t="shared" si="3"/>
        <v>0</v>
      </c>
      <c r="V28" s="45">
        <f>(SUM($O$2:O28)-SUM($I$2:I28))</f>
        <v>1.8900000000000006</v>
      </c>
    </row>
    <row r="29" spans="1:22" x14ac:dyDescent="0.2">
      <c r="A29" s="44">
        <v>4</v>
      </c>
      <c r="B29" s="35" t="s">
        <v>21</v>
      </c>
      <c r="C29" s="36">
        <f t="shared" si="4"/>
        <v>46116</v>
      </c>
      <c r="D29" s="35" t="s">
        <v>44</v>
      </c>
      <c r="E29" s="37">
        <v>20</v>
      </c>
      <c r="F29" s="35" t="s">
        <v>45</v>
      </c>
      <c r="G29" s="35" t="s">
        <v>64</v>
      </c>
      <c r="H29" s="37">
        <v>20</v>
      </c>
      <c r="I29" s="38">
        <v>0</v>
      </c>
      <c r="J29" s="38" t="str">
        <f t="shared" si="5"/>
        <v/>
      </c>
      <c r="K29" s="35" t="s">
        <v>60</v>
      </c>
      <c r="L29" s="35" t="s">
        <v>26</v>
      </c>
      <c r="M29" s="39">
        <v>30</v>
      </c>
      <c r="N29" s="39">
        <v>15</v>
      </c>
      <c r="O29" s="40"/>
      <c r="P29" s="41"/>
      <c r="Q29" s="41"/>
      <c r="R29" s="42">
        <f t="shared" si="0"/>
        <v>1</v>
      </c>
      <c r="S29" s="43">
        <f t="shared" si="1"/>
        <v>40</v>
      </c>
      <c r="T29" s="43">
        <f t="shared" si="2"/>
        <v>45</v>
      </c>
      <c r="U29" s="42" t="str">
        <f t="shared" si="3"/>
        <v/>
      </c>
      <c r="V29" s="45">
        <f>(SUM($O$2:O29)-SUM($I$2:I29))</f>
        <v>1.8900000000000006</v>
      </c>
    </row>
    <row r="30" spans="1:22" x14ac:dyDescent="0.2">
      <c r="A30" s="44">
        <v>5</v>
      </c>
      <c r="B30" s="35" t="s">
        <v>21</v>
      </c>
      <c r="C30" s="36">
        <f t="shared" si="4"/>
        <v>46117</v>
      </c>
      <c r="D30" s="35" t="s">
        <v>22</v>
      </c>
      <c r="E30" s="37">
        <v>40</v>
      </c>
      <c r="F30" s="35" t="s">
        <v>45</v>
      </c>
      <c r="G30" s="35" t="s">
        <v>65</v>
      </c>
      <c r="H30" s="37">
        <v>60</v>
      </c>
      <c r="I30" s="38">
        <v>3.3</v>
      </c>
      <c r="J30" s="38" t="str">
        <f t="shared" si="5"/>
        <v>18:11</v>
      </c>
      <c r="K30" s="35" t="s">
        <v>47</v>
      </c>
      <c r="L30" s="35" t="s">
        <v>50</v>
      </c>
      <c r="M30" s="39"/>
      <c r="N30" s="39">
        <v>20</v>
      </c>
      <c r="O30" s="40">
        <v>1</v>
      </c>
      <c r="P30" s="41"/>
      <c r="Q30" s="41"/>
      <c r="R30" s="42">
        <f t="shared" si="0"/>
        <v>0</v>
      </c>
      <c r="S30" s="43">
        <f t="shared" si="1"/>
        <v>100</v>
      </c>
      <c r="T30" s="43">
        <f t="shared" si="2"/>
        <v>20</v>
      </c>
      <c r="U30" s="42">
        <f t="shared" si="3"/>
        <v>-2.2999999999999998</v>
      </c>
      <c r="V30" s="45">
        <f>(SUM($O$2:O30)-SUM($I$2:I30))</f>
        <v>-0.41000000000000014</v>
      </c>
    </row>
    <row r="31" spans="1:22" x14ac:dyDescent="0.2">
      <c r="A31" s="44">
        <v>5</v>
      </c>
      <c r="B31" s="35" t="s">
        <v>21</v>
      </c>
      <c r="C31" s="36">
        <f t="shared" si="4"/>
        <v>46118</v>
      </c>
      <c r="D31" s="35" t="s">
        <v>27</v>
      </c>
      <c r="E31" s="37">
        <v>0</v>
      </c>
      <c r="F31" s="35" t="s">
        <v>48</v>
      </c>
      <c r="G31" s="35" t="s">
        <v>51</v>
      </c>
      <c r="H31" s="37">
        <v>0</v>
      </c>
      <c r="I31" s="38">
        <v>1</v>
      </c>
      <c r="J31" s="38" t="str">
        <f t="shared" si="5"/>
        <v>0:00</v>
      </c>
      <c r="K31" s="35" t="s">
        <v>39</v>
      </c>
      <c r="L31" s="35" t="s">
        <v>43</v>
      </c>
      <c r="M31" s="39"/>
      <c r="N31" s="39"/>
      <c r="O31" s="40"/>
      <c r="P31" s="41"/>
      <c r="Q31" s="41"/>
      <c r="R31" s="42">
        <f t="shared" si="0"/>
        <v>1</v>
      </c>
      <c r="S31" s="43">
        <f t="shared" si="1"/>
        <v>0</v>
      </c>
      <c r="T31" s="43" t="str">
        <f t="shared" si="2"/>
        <v/>
      </c>
      <c r="U31" s="42" t="str">
        <f t="shared" si="3"/>
        <v/>
      </c>
      <c r="V31" s="45">
        <f>(SUM($O$2:O31)-SUM($I$2:I31))</f>
        <v>-1.4100000000000001</v>
      </c>
    </row>
    <row r="32" spans="1:22" x14ac:dyDescent="0.2">
      <c r="A32" s="44">
        <v>5</v>
      </c>
      <c r="B32" s="35" t="s">
        <v>21</v>
      </c>
      <c r="C32" s="36">
        <f t="shared" si="4"/>
        <v>46119</v>
      </c>
      <c r="D32" s="35" t="s">
        <v>31</v>
      </c>
      <c r="E32" s="37">
        <v>0</v>
      </c>
      <c r="F32" s="35" t="s">
        <v>32</v>
      </c>
      <c r="G32" s="35" t="s">
        <v>66</v>
      </c>
      <c r="H32" s="37">
        <v>60</v>
      </c>
      <c r="I32" s="38">
        <v>0</v>
      </c>
      <c r="J32" s="38" t="str">
        <f t="shared" si="5"/>
        <v/>
      </c>
      <c r="K32" s="35" t="s">
        <v>53</v>
      </c>
      <c r="L32" s="35" t="s">
        <v>26</v>
      </c>
      <c r="M32" s="39"/>
      <c r="N32" s="39">
        <v>60</v>
      </c>
      <c r="O32" s="40">
        <v>3.4</v>
      </c>
      <c r="P32" s="41"/>
      <c r="Q32" s="41"/>
      <c r="R32" s="42">
        <f t="shared" si="0"/>
        <v>1</v>
      </c>
      <c r="S32" s="43">
        <f t="shared" si="1"/>
        <v>60</v>
      </c>
      <c r="T32" s="43">
        <f t="shared" si="2"/>
        <v>60</v>
      </c>
      <c r="U32" s="42">
        <f t="shared" si="3"/>
        <v>3.4</v>
      </c>
      <c r="V32" s="45">
        <f>(SUM($O$2:O32)-SUM($I$2:I32))</f>
        <v>1.9899999999999984</v>
      </c>
    </row>
    <row r="33" spans="1:22" x14ac:dyDescent="0.2">
      <c r="A33" s="44">
        <v>5</v>
      </c>
      <c r="B33" s="35" t="s">
        <v>21</v>
      </c>
      <c r="C33" s="36">
        <f t="shared" si="4"/>
        <v>46120</v>
      </c>
      <c r="D33" s="35" t="s">
        <v>35</v>
      </c>
      <c r="E33" s="37">
        <v>40</v>
      </c>
      <c r="F33" s="35" t="s">
        <v>32</v>
      </c>
      <c r="G33" s="35" t="s">
        <v>67</v>
      </c>
      <c r="H33" s="37">
        <v>0</v>
      </c>
      <c r="I33" s="38"/>
      <c r="J33" s="38" t="str">
        <f t="shared" si="5"/>
        <v/>
      </c>
      <c r="K33" s="35" t="s">
        <v>55</v>
      </c>
      <c r="L33" s="35" t="s">
        <v>26</v>
      </c>
      <c r="M33" s="39">
        <v>40</v>
      </c>
      <c r="N33" s="39">
        <v>0</v>
      </c>
      <c r="O33" s="40"/>
      <c r="P33" s="41"/>
      <c r="Q33" s="41"/>
      <c r="R33" s="42">
        <f t="shared" si="0"/>
        <v>1</v>
      </c>
      <c r="S33" s="43">
        <f t="shared" si="1"/>
        <v>40</v>
      </c>
      <c r="T33" s="43">
        <f t="shared" si="2"/>
        <v>40</v>
      </c>
      <c r="U33" s="42" t="str">
        <f t="shared" si="3"/>
        <v/>
      </c>
      <c r="V33" s="45">
        <f>(SUM($O$2:O33)-SUM($I$2:I33))</f>
        <v>1.9899999999999984</v>
      </c>
    </row>
    <row r="34" spans="1:22" x14ac:dyDescent="0.2">
      <c r="A34" s="44">
        <v>5</v>
      </c>
      <c r="B34" s="35" t="s">
        <v>21</v>
      </c>
      <c r="C34" s="36">
        <f t="shared" si="4"/>
        <v>46121</v>
      </c>
      <c r="D34" s="35" t="s">
        <v>37</v>
      </c>
      <c r="E34" s="37">
        <v>60</v>
      </c>
      <c r="F34" s="35" t="s">
        <v>28</v>
      </c>
      <c r="G34" s="35" t="s">
        <v>68</v>
      </c>
      <c r="H34" s="37">
        <v>45</v>
      </c>
      <c r="I34" s="38">
        <v>2.5</v>
      </c>
      <c r="J34" s="38" t="str">
        <f t="shared" si="5"/>
        <v>18:00</v>
      </c>
      <c r="K34" s="35" t="s">
        <v>30</v>
      </c>
      <c r="L34" s="35" t="s">
        <v>50</v>
      </c>
      <c r="M34" s="39"/>
      <c r="N34" s="39"/>
      <c r="O34" s="40"/>
      <c r="P34" s="41"/>
      <c r="Q34" s="41"/>
      <c r="R34" s="42">
        <f t="shared" si="0"/>
        <v>0</v>
      </c>
      <c r="S34" s="43">
        <f t="shared" si="1"/>
        <v>105</v>
      </c>
      <c r="T34" s="43" t="str">
        <f t="shared" si="2"/>
        <v/>
      </c>
      <c r="U34" s="42" t="str">
        <f t="shared" si="3"/>
        <v/>
      </c>
      <c r="V34" s="45">
        <f>(SUM($O$2:O34)-SUM($I$2:I34))</f>
        <v>-0.51000000000000156</v>
      </c>
    </row>
    <row r="35" spans="1:22" x14ac:dyDescent="0.2">
      <c r="A35" s="44">
        <v>5</v>
      </c>
      <c r="B35" s="35" t="s">
        <v>21</v>
      </c>
      <c r="C35" s="36">
        <f t="shared" si="4"/>
        <v>46122</v>
      </c>
      <c r="D35" s="35" t="s">
        <v>40</v>
      </c>
      <c r="E35" s="37">
        <v>40</v>
      </c>
      <c r="F35" s="35" t="s">
        <v>23</v>
      </c>
      <c r="G35" s="35" t="s">
        <v>69</v>
      </c>
      <c r="H35" s="37">
        <v>25</v>
      </c>
      <c r="I35" s="38"/>
      <c r="J35" s="38" t="str">
        <f t="shared" si="5"/>
        <v/>
      </c>
      <c r="K35" s="35" t="s">
        <v>58</v>
      </c>
      <c r="L35" s="35" t="s">
        <v>50</v>
      </c>
      <c r="M35" s="39"/>
      <c r="N35" s="39"/>
      <c r="O35" s="40"/>
      <c r="P35" s="41"/>
      <c r="Q35" s="41"/>
      <c r="R35" s="42">
        <f t="shared" si="0"/>
        <v>0</v>
      </c>
      <c r="S35" s="43">
        <f t="shared" si="1"/>
        <v>65</v>
      </c>
      <c r="T35" s="43" t="str">
        <f t="shared" si="2"/>
        <v/>
      </c>
      <c r="U35" s="42" t="str">
        <f t="shared" si="3"/>
        <v/>
      </c>
      <c r="V35" s="45">
        <f>(SUM($O$2:O35)-SUM($I$2:I35))</f>
        <v>-0.51000000000000156</v>
      </c>
    </row>
    <row r="36" spans="1:22" x14ac:dyDescent="0.2">
      <c r="A36" s="44">
        <v>5</v>
      </c>
      <c r="B36" s="35" t="s">
        <v>21</v>
      </c>
      <c r="C36" s="36">
        <f t="shared" si="4"/>
        <v>46123</v>
      </c>
      <c r="D36" s="35" t="s">
        <v>44</v>
      </c>
      <c r="E36" s="37">
        <v>15</v>
      </c>
      <c r="F36" s="35" t="s">
        <v>28</v>
      </c>
      <c r="G36" s="35" t="s">
        <v>70</v>
      </c>
      <c r="H36" s="37">
        <v>20</v>
      </c>
      <c r="I36" s="38">
        <v>1</v>
      </c>
      <c r="J36" s="38" t="str">
        <f t="shared" si="5"/>
        <v>20:00</v>
      </c>
      <c r="K36" s="35" t="s">
        <v>60</v>
      </c>
      <c r="L36" s="35" t="s">
        <v>50</v>
      </c>
      <c r="M36" s="39"/>
      <c r="N36" s="39"/>
      <c r="O36" s="40"/>
      <c r="P36" s="41"/>
      <c r="Q36" s="41"/>
      <c r="R36" s="42">
        <f t="shared" si="0"/>
        <v>0</v>
      </c>
      <c r="S36" s="43">
        <f t="shared" si="1"/>
        <v>35</v>
      </c>
      <c r="T36" s="43" t="str">
        <f t="shared" si="2"/>
        <v/>
      </c>
      <c r="U36" s="42" t="str">
        <f t="shared" si="3"/>
        <v/>
      </c>
      <c r="V36" s="45">
        <f>(SUM($O$2:O36)-SUM($I$2:I36))</f>
        <v>-1.5100000000000016</v>
      </c>
    </row>
    <row r="37" spans="1:22" x14ac:dyDescent="0.2">
      <c r="A37" s="44">
        <v>6</v>
      </c>
      <c r="B37" s="35" t="s">
        <v>21</v>
      </c>
      <c r="C37" s="36">
        <f t="shared" si="4"/>
        <v>46124</v>
      </c>
      <c r="D37" s="35" t="s">
        <v>22</v>
      </c>
      <c r="E37" s="37">
        <v>30</v>
      </c>
      <c r="F37" s="35" t="s">
        <v>45</v>
      </c>
      <c r="G37" s="35" t="s">
        <v>65</v>
      </c>
      <c r="H37" s="37">
        <v>30</v>
      </c>
      <c r="I37" s="38">
        <v>1.5</v>
      </c>
      <c r="J37" s="38" t="str">
        <f t="shared" si="5"/>
        <v>20:00</v>
      </c>
      <c r="K37" s="35" t="s">
        <v>47</v>
      </c>
      <c r="L37" s="35" t="s">
        <v>26</v>
      </c>
      <c r="M37" s="39">
        <v>30</v>
      </c>
      <c r="N37" s="39">
        <v>30</v>
      </c>
      <c r="O37" s="40">
        <v>1.5</v>
      </c>
      <c r="P37" s="41"/>
      <c r="Q37" s="41"/>
      <c r="R37" s="42">
        <f t="shared" si="0"/>
        <v>1</v>
      </c>
      <c r="S37" s="43">
        <f t="shared" si="1"/>
        <v>60</v>
      </c>
      <c r="T37" s="43">
        <f t="shared" si="2"/>
        <v>60</v>
      </c>
      <c r="U37" s="42">
        <f t="shared" si="3"/>
        <v>0</v>
      </c>
      <c r="V37" s="45">
        <f>(SUM($O$2:O37)-SUM($I$2:I37))</f>
        <v>-1.5100000000000016</v>
      </c>
    </row>
    <row r="38" spans="1:22" x14ac:dyDescent="0.2">
      <c r="A38" s="44">
        <v>6</v>
      </c>
      <c r="B38" s="35" t="s">
        <v>21</v>
      </c>
      <c r="C38" s="36">
        <f t="shared" si="4"/>
        <v>46125</v>
      </c>
      <c r="D38" s="35" t="s">
        <v>27</v>
      </c>
      <c r="E38" s="37">
        <v>0</v>
      </c>
      <c r="F38" s="35" t="s">
        <v>48</v>
      </c>
      <c r="G38" s="35" t="s">
        <v>51</v>
      </c>
      <c r="H38" s="37">
        <v>0</v>
      </c>
      <c r="I38" s="38">
        <v>0</v>
      </c>
      <c r="J38" s="38" t="str">
        <f t="shared" si="5"/>
        <v/>
      </c>
      <c r="K38" s="35" t="s">
        <v>39</v>
      </c>
      <c r="L38" s="35" t="s">
        <v>43</v>
      </c>
      <c r="M38" s="39"/>
      <c r="N38" s="39"/>
      <c r="O38" s="40"/>
      <c r="P38" s="41"/>
      <c r="Q38" s="41"/>
      <c r="R38" s="42">
        <f t="shared" si="0"/>
        <v>1</v>
      </c>
      <c r="S38" s="43">
        <f t="shared" si="1"/>
        <v>0</v>
      </c>
      <c r="T38" s="43" t="str">
        <f t="shared" si="2"/>
        <v/>
      </c>
      <c r="U38" s="42" t="str">
        <f t="shared" si="3"/>
        <v/>
      </c>
      <c r="V38" s="45">
        <f>(SUM($O$2:O38)-SUM($I$2:I38))</f>
        <v>-1.5100000000000016</v>
      </c>
    </row>
    <row r="39" spans="1:22" x14ac:dyDescent="0.2">
      <c r="A39" s="44">
        <v>6</v>
      </c>
      <c r="B39" s="35" t="s">
        <v>21</v>
      </c>
      <c r="C39" s="36">
        <f t="shared" si="4"/>
        <v>46126</v>
      </c>
      <c r="D39" s="35" t="s">
        <v>31</v>
      </c>
      <c r="E39" s="37">
        <v>60</v>
      </c>
      <c r="F39" s="35" t="s">
        <v>28</v>
      </c>
      <c r="G39" s="35" t="s">
        <v>71</v>
      </c>
      <c r="H39" s="37">
        <v>35</v>
      </c>
      <c r="I39" s="38">
        <v>1.8</v>
      </c>
      <c r="J39" s="38" t="str">
        <f t="shared" si="5"/>
        <v>19:27</v>
      </c>
      <c r="K39" s="35" t="s">
        <v>53</v>
      </c>
      <c r="L39" s="35" t="s">
        <v>26</v>
      </c>
      <c r="M39" s="39">
        <v>30</v>
      </c>
      <c r="N39" s="39">
        <v>20</v>
      </c>
      <c r="O39" s="40">
        <v>0.67</v>
      </c>
      <c r="P39" s="41"/>
      <c r="Q39" s="41"/>
      <c r="R39" s="42">
        <f t="shared" si="0"/>
        <v>1</v>
      </c>
      <c r="S39" s="43">
        <f t="shared" si="1"/>
        <v>95</v>
      </c>
      <c r="T39" s="43">
        <f t="shared" si="2"/>
        <v>50</v>
      </c>
      <c r="U39" s="42">
        <f t="shared" si="3"/>
        <v>-1.1299999999999999</v>
      </c>
      <c r="V39" s="45">
        <f>(SUM($O$2:O39)-SUM($I$2:I39))</f>
        <v>-2.639999999999997</v>
      </c>
    </row>
    <row r="40" spans="1:22" x14ac:dyDescent="0.2">
      <c r="A40" s="44">
        <v>6</v>
      </c>
      <c r="B40" s="35" t="s">
        <v>21</v>
      </c>
      <c r="C40" s="36">
        <f t="shared" si="4"/>
        <v>46127</v>
      </c>
      <c r="D40" s="35" t="s">
        <v>35</v>
      </c>
      <c r="E40" s="37">
        <v>30</v>
      </c>
      <c r="F40" s="35" t="s">
        <v>23</v>
      </c>
      <c r="G40" s="35" t="s">
        <v>72</v>
      </c>
      <c r="H40" s="37">
        <v>25</v>
      </c>
      <c r="I40" s="38"/>
      <c r="J40" s="38" t="str">
        <f t="shared" si="5"/>
        <v/>
      </c>
      <c r="K40" s="35" t="s">
        <v>55</v>
      </c>
      <c r="L40" s="35" t="s">
        <v>50</v>
      </c>
      <c r="M40" s="39"/>
      <c r="N40" s="39"/>
      <c r="O40" s="40"/>
      <c r="P40" s="41"/>
      <c r="Q40" s="41"/>
      <c r="R40" s="42">
        <f t="shared" si="0"/>
        <v>0</v>
      </c>
      <c r="S40" s="43">
        <f t="shared" si="1"/>
        <v>55</v>
      </c>
      <c r="T40" s="43" t="str">
        <f t="shared" si="2"/>
        <v/>
      </c>
      <c r="U40" s="42" t="str">
        <f t="shared" si="3"/>
        <v/>
      </c>
      <c r="V40" s="45">
        <f>(SUM($O$2:O40)-SUM($I$2:I40))</f>
        <v>-2.639999999999997</v>
      </c>
    </row>
    <row r="41" spans="1:22" x14ac:dyDescent="0.2">
      <c r="A41" s="44">
        <v>6</v>
      </c>
      <c r="B41" s="35" t="s">
        <v>21</v>
      </c>
      <c r="C41" s="36">
        <f t="shared" si="4"/>
        <v>46128</v>
      </c>
      <c r="D41" s="35" t="s">
        <v>37</v>
      </c>
      <c r="E41" s="37">
        <v>50</v>
      </c>
      <c r="F41" s="35" t="s">
        <v>28</v>
      </c>
      <c r="G41" s="35" t="s">
        <v>73</v>
      </c>
      <c r="H41" s="37">
        <v>45</v>
      </c>
      <c r="I41" s="38">
        <v>2.5</v>
      </c>
      <c r="J41" s="38" t="str">
        <f t="shared" si="5"/>
        <v>18:00</v>
      </c>
      <c r="K41" s="35" t="s">
        <v>30</v>
      </c>
      <c r="L41" s="35" t="s">
        <v>26</v>
      </c>
      <c r="M41" s="39">
        <v>50</v>
      </c>
      <c r="N41" s="39">
        <v>20</v>
      </c>
      <c r="O41" s="40">
        <v>1.2</v>
      </c>
      <c r="P41" s="41"/>
      <c r="Q41" s="41"/>
      <c r="R41" s="42">
        <f t="shared" si="0"/>
        <v>1</v>
      </c>
      <c r="S41" s="43">
        <f t="shared" si="1"/>
        <v>95</v>
      </c>
      <c r="T41" s="43">
        <f t="shared" si="2"/>
        <v>70</v>
      </c>
      <c r="U41" s="42">
        <f t="shared" si="3"/>
        <v>-1.3</v>
      </c>
      <c r="V41" s="45">
        <f>(SUM($O$2:O41)-SUM($I$2:I41))</f>
        <v>-3.9399999999999977</v>
      </c>
    </row>
    <row r="42" spans="1:22" x14ac:dyDescent="0.2">
      <c r="A42" s="44">
        <v>6</v>
      </c>
      <c r="B42" s="35" t="s">
        <v>21</v>
      </c>
      <c r="C42" s="36">
        <f t="shared" si="4"/>
        <v>46129</v>
      </c>
      <c r="D42" s="35" t="s">
        <v>40</v>
      </c>
      <c r="E42" s="37">
        <v>30</v>
      </c>
      <c r="F42" s="35" t="s">
        <v>32</v>
      </c>
      <c r="G42" s="35" t="s">
        <v>74</v>
      </c>
      <c r="H42" s="37">
        <v>20</v>
      </c>
      <c r="I42" s="38"/>
      <c r="J42" s="38" t="str">
        <f t="shared" si="5"/>
        <v/>
      </c>
      <c r="K42" s="35" t="s">
        <v>58</v>
      </c>
      <c r="L42" s="35" t="s">
        <v>26</v>
      </c>
      <c r="M42" s="39">
        <v>30</v>
      </c>
      <c r="N42" s="39">
        <v>20</v>
      </c>
      <c r="O42" s="40">
        <v>1</v>
      </c>
      <c r="P42" s="41"/>
      <c r="Q42" s="41"/>
      <c r="R42" s="42">
        <f t="shared" si="0"/>
        <v>1</v>
      </c>
      <c r="S42" s="43">
        <f t="shared" si="1"/>
        <v>50</v>
      </c>
      <c r="T42" s="43">
        <f t="shared" si="2"/>
        <v>50</v>
      </c>
      <c r="U42" s="42">
        <f t="shared" si="3"/>
        <v>1</v>
      </c>
      <c r="V42" s="45">
        <f>(SUM($O$2:O42)-SUM($I$2:I42))</f>
        <v>-2.9399999999999977</v>
      </c>
    </row>
    <row r="43" spans="1:22" x14ac:dyDescent="0.2">
      <c r="A43" s="44">
        <v>6</v>
      </c>
      <c r="B43" s="35" t="s">
        <v>21</v>
      </c>
      <c r="C43" s="36">
        <f t="shared" si="4"/>
        <v>46130</v>
      </c>
      <c r="D43" s="35" t="s">
        <v>44</v>
      </c>
      <c r="E43" s="37">
        <v>20</v>
      </c>
      <c r="F43" s="35" t="s">
        <v>45</v>
      </c>
      <c r="G43" s="35" t="s">
        <v>75</v>
      </c>
      <c r="H43" s="37">
        <v>20</v>
      </c>
      <c r="I43" s="38">
        <v>1</v>
      </c>
      <c r="J43" s="38" t="str">
        <f t="shared" si="5"/>
        <v>20:00</v>
      </c>
      <c r="K43" s="35" t="s">
        <v>60</v>
      </c>
      <c r="L43" s="35" t="s">
        <v>26</v>
      </c>
      <c r="M43" s="39">
        <v>15</v>
      </c>
      <c r="N43" s="39">
        <v>60</v>
      </c>
      <c r="O43" s="40">
        <v>4</v>
      </c>
      <c r="P43" s="41"/>
      <c r="Q43" s="41"/>
      <c r="R43" s="42">
        <f t="shared" si="0"/>
        <v>1</v>
      </c>
      <c r="S43" s="43">
        <f t="shared" si="1"/>
        <v>40</v>
      </c>
      <c r="T43" s="43">
        <f t="shared" si="2"/>
        <v>75</v>
      </c>
      <c r="U43" s="42">
        <f t="shared" si="3"/>
        <v>3</v>
      </c>
      <c r="V43" s="45">
        <f>(SUM($O$2:O43)-SUM($I$2:I43))</f>
        <v>6.0000000000002274E-2</v>
      </c>
    </row>
    <row r="44" spans="1:22" x14ac:dyDescent="0.2">
      <c r="A44" s="44">
        <v>7</v>
      </c>
      <c r="B44" s="35" t="s">
        <v>21</v>
      </c>
      <c r="C44" s="36">
        <f t="shared" si="4"/>
        <v>46131</v>
      </c>
      <c r="D44" s="35" t="s">
        <v>22</v>
      </c>
      <c r="E44" s="37">
        <v>60</v>
      </c>
      <c r="F44" s="35" t="s">
        <v>45</v>
      </c>
      <c r="G44" s="35" t="s">
        <v>76</v>
      </c>
      <c r="H44" s="37">
        <v>70</v>
      </c>
      <c r="I44" s="38">
        <v>3.9</v>
      </c>
      <c r="J44" s="38" t="str">
        <f t="shared" si="5"/>
        <v>17:57</v>
      </c>
      <c r="K44" s="35" t="s">
        <v>47</v>
      </c>
      <c r="L44" s="35" t="s">
        <v>26</v>
      </c>
      <c r="M44" s="39">
        <v>0</v>
      </c>
      <c r="N44" s="39">
        <v>70</v>
      </c>
      <c r="O44" s="40">
        <v>4.0999999999999996</v>
      </c>
      <c r="P44" s="41"/>
      <c r="Q44" s="41"/>
      <c r="R44" s="42">
        <f t="shared" si="0"/>
        <v>1</v>
      </c>
      <c r="S44" s="43">
        <f t="shared" si="1"/>
        <v>130</v>
      </c>
      <c r="T44" s="43">
        <f t="shared" si="2"/>
        <v>70</v>
      </c>
      <c r="U44" s="42">
        <f t="shared" si="3"/>
        <v>0.19999999999999973</v>
      </c>
      <c r="V44" s="45">
        <f>(SUM($O$2:O44)-SUM($I$2:I44))</f>
        <v>0.26000000000000512</v>
      </c>
    </row>
    <row r="45" spans="1:22" x14ac:dyDescent="0.2">
      <c r="A45" s="44">
        <v>7</v>
      </c>
      <c r="B45" s="35" t="s">
        <v>21</v>
      </c>
      <c r="C45" s="36">
        <f t="shared" si="4"/>
        <v>46132</v>
      </c>
      <c r="D45" s="35" t="s">
        <v>27</v>
      </c>
      <c r="E45" s="37">
        <v>0</v>
      </c>
      <c r="F45" s="35" t="s">
        <v>48</v>
      </c>
      <c r="G45" s="35" t="s">
        <v>51</v>
      </c>
      <c r="H45" s="37">
        <v>0</v>
      </c>
      <c r="I45" s="38">
        <v>0</v>
      </c>
      <c r="J45" s="38" t="str">
        <f t="shared" si="5"/>
        <v/>
      </c>
      <c r="K45" s="35" t="s">
        <v>39</v>
      </c>
      <c r="L45" s="35" t="s">
        <v>43</v>
      </c>
      <c r="M45" s="39"/>
      <c r="N45" s="39"/>
      <c r="O45" s="40"/>
      <c r="P45" s="41"/>
      <c r="Q45" s="41"/>
      <c r="R45" s="42">
        <f t="shared" si="0"/>
        <v>1</v>
      </c>
      <c r="S45" s="43">
        <f t="shared" si="1"/>
        <v>0</v>
      </c>
      <c r="T45" s="43" t="str">
        <f t="shared" si="2"/>
        <v/>
      </c>
      <c r="U45" s="42" t="str">
        <f t="shared" si="3"/>
        <v/>
      </c>
      <c r="V45" s="45">
        <f>(SUM($O$2:O45)-SUM($I$2:I45))</f>
        <v>0.26000000000000512</v>
      </c>
    </row>
    <row r="46" spans="1:22" x14ac:dyDescent="0.2">
      <c r="A46" s="44">
        <v>7</v>
      </c>
      <c r="B46" s="35" t="s">
        <v>21</v>
      </c>
      <c r="C46" s="36">
        <f t="shared" si="4"/>
        <v>46133</v>
      </c>
      <c r="D46" s="35" t="s">
        <v>31</v>
      </c>
      <c r="E46" s="37">
        <v>30</v>
      </c>
      <c r="F46" s="35" t="s">
        <v>28</v>
      </c>
      <c r="G46" s="35" t="s">
        <v>52</v>
      </c>
      <c r="H46" s="37">
        <v>30</v>
      </c>
      <c r="I46" s="38">
        <v>1.5</v>
      </c>
      <c r="J46" s="38" t="str">
        <f t="shared" si="5"/>
        <v>20:00</v>
      </c>
      <c r="K46" s="35" t="s">
        <v>53</v>
      </c>
      <c r="L46" s="35" t="s">
        <v>26</v>
      </c>
      <c r="M46" s="39">
        <v>45</v>
      </c>
      <c r="N46" s="39"/>
      <c r="O46" s="40">
        <v>2</v>
      </c>
      <c r="P46" s="41"/>
      <c r="Q46" s="41"/>
      <c r="R46" s="42">
        <f t="shared" si="0"/>
        <v>1</v>
      </c>
      <c r="S46" s="43">
        <f t="shared" si="1"/>
        <v>60</v>
      </c>
      <c r="T46" s="43">
        <f t="shared" si="2"/>
        <v>45</v>
      </c>
      <c r="U46" s="42">
        <f t="shared" si="3"/>
        <v>0.5</v>
      </c>
      <c r="V46" s="45">
        <f>(SUM($O$2:O46)-SUM($I$2:I46))</f>
        <v>0.76000000000000512</v>
      </c>
    </row>
    <row r="47" spans="1:22" x14ac:dyDescent="0.2">
      <c r="A47" s="44">
        <v>7</v>
      </c>
      <c r="B47" s="35" t="s">
        <v>21</v>
      </c>
      <c r="C47" s="36">
        <f t="shared" si="4"/>
        <v>46134</v>
      </c>
      <c r="D47" s="35" t="s">
        <v>35</v>
      </c>
      <c r="E47" s="37">
        <v>40</v>
      </c>
      <c r="F47" s="35" t="s">
        <v>32</v>
      </c>
      <c r="G47" s="35" t="s">
        <v>54</v>
      </c>
      <c r="H47" s="37">
        <v>25</v>
      </c>
      <c r="I47" s="38"/>
      <c r="J47" s="38" t="str">
        <f t="shared" si="5"/>
        <v/>
      </c>
      <c r="K47" s="35" t="s">
        <v>55</v>
      </c>
      <c r="L47" s="35" t="s">
        <v>26</v>
      </c>
      <c r="M47" s="39">
        <v>15</v>
      </c>
      <c r="N47" s="39"/>
      <c r="O47" s="40"/>
      <c r="P47" s="41"/>
      <c r="Q47" s="41"/>
      <c r="R47" s="42">
        <f t="shared" si="0"/>
        <v>1</v>
      </c>
      <c r="S47" s="43">
        <f t="shared" si="1"/>
        <v>65</v>
      </c>
      <c r="T47" s="43">
        <f t="shared" si="2"/>
        <v>15</v>
      </c>
      <c r="U47" s="42" t="str">
        <f t="shared" si="3"/>
        <v/>
      </c>
      <c r="V47" s="45">
        <f>(SUM($O$2:O47)-SUM($I$2:I47))</f>
        <v>0.76000000000000512</v>
      </c>
    </row>
    <row r="48" spans="1:22" x14ac:dyDescent="0.2">
      <c r="A48" s="44">
        <v>7</v>
      </c>
      <c r="B48" s="35" t="s">
        <v>21</v>
      </c>
      <c r="C48" s="36">
        <f t="shared" si="4"/>
        <v>46135</v>
      </c>
      <c r="D48" s="35" t="s">
        <v>37</v>
      </c>
      <c r="E48" s="37">
        <v>20</v>
      </c>
      <c r="F48" s="35" t="s">
        <v>28</v>
      </c>
      <c r="G48" s="35" t="s">
        <v>56</v>
      </c>
      <c r="H48" s="37">
        <v>30</v>
      </c>
      <c r="I48" s="38">
        <v>0</v>
      </c>
      <c r="J48" s="38">
        <v>0</v>
      </c>
      <c r="K48" s="35" t="s">
        <v>30</v>
      </c>
      <c r="L48" s="35" t="s">
        <v>26</v>
      </c>
      <c r="M48" s="39">
        <v>20</v>
      </c>
      <c r="N48" s="39">
        <v>30</v>
      </c>
      <c r="O48" s="40"/>
      <c r="P48" s="41"/>
      <c r="Q48" s="41"/>
      <c r="R48" s="42">
        <f t="shared" si="0"/>
        <v>1</v>
      </c>
      <c r="S48" s="43">
        <f t="shared" si="1"/>
        <v>50</v>
      </c>
      <c r="T48" s="43">
        <f t="shared" si="2"/>
        <v>50</v>
      </c>
      <c r="U48" s="42" t="str">
        <f t="shared" si="3"/>
        <v/>
      </c>
      <c r="V48" s="45">
        <f>(SUM($O$2:O48)-SUM($I$2:I48))</f>
        <v>0.76000000000000512</v>
      </c>
    </row>
    <row r="49" spans="1:22" x14ac:dyDescent="0.2">
      <c r="A49" s="44">
        <v>7</v>
      </c>
      <c r="B49" s="35" t="s">
        <v>21</v>
      </c>
      <c r="C49" s="36">
        <f t="shared" si="4"/>
        <v>46136</v>
      </c>
      <c r="D49" s="35" t="s">
        <v>40</v>
      </c>
      <c r="E49" s="37">
        <v>50</v>
      </c>
      <c r="F49" s="35" t="s">
        <v>23</v>
      </c>
      <c r="G49" s="35" t="s">
        <v>57</v>
      </c>
      <c r="H49" s="37">
        <v>20</v>
      </c>
      <c r="I49" s="38">
        <v>2.5</v>
      </c>
      <c r="J49" s="38">
        <v>18</v>
      </c>
      <c r="K49" s="35" t="s">
        <v>58</v>
      </c>
      <c r="L49" s="35" t="s">
        <v>50</v>
      </c>
      <c r="M49" s="39"/>
      <c r="N49" s="39"/>
      <c r="O49" s="40"/>
      <c r="P49" s="41"/>
      <c r="Q49" s="41"/>
      <c r="R49" s="42">
        <f t="shared" si="0"/>
        <v>0</v>
      </c>
      <c r="S49" s="43">
        <f t="shared" si="1"/>
        <v>70</v>
      </c>
      <c r="T49" s="43" t="str">
        <f t="shared" si="2"/>
        <v/>
      </c>
      <c r="U49" s="42" t="str">
        <f t="shared" si="3"/>
        <v/>
      </c>
      <c r="V49" s="45">
        <f>(SUM($O$2:O49)-SUM($I$2:I49))</f>
        <v>-1.7399999999999949</v>
      </c>
    </row>
    <row r="50" spans="1:22" x14ac:dyDescent="0.2">
      <c r="A50" s="44">
        <v>7</v>
      </c>
      <c r="B50" s="35" t="s">
        <v>21</v>
      </c>
      <c r="C50" s="36">
        <f t="shared" si="4"/>
        <v>46137</v>
      </c>
      <c r="D50" s="35" t="s">
        <v>44</v>
      </c>
      <c r="E50" s="37">
        <v>15</v>
      </c>
      <c r="F50" s="35" t="s">
        <v>45</v>
      </c>
      <c r="G50" s="35" t="s">
        <v>59</v>
      </c>
      <c r="H50" s="37">
        <v>20</v>
      </c>
      <c r="I50" s="38">
        <v>0</v>
      </c>
      <c r="J50" s="38" t="str">
        <f t="shared" si="5"/>
        <v/>
      </c>
      <c r="K50" s="35" t="s">
        <v>60</v>
      </c>
      <c r="L50" s="35" t="s">
        <v>26</v>
      </c>
      <c r="M50" s="39">
        <v>15</v>
      </c>
      <c r="N50" s="39">
        <v>45</v>
      </c>
      <c r="O50" s="40">
        <v>2.6</v>
      </c>
      <c r="P50" s="41"/>
      <c r="Q50" s="41"/>
      <c r="R50" s="42">
        <f t="shared" si="0"/>
        <v>1</v>
      </c>
      <c r="S50" s="43">
        <f t="shared" si="1"/>
        <v>35</v>
      </c>
      <c r="T50" s="43">
        <f t="shared" si="2"/>
        <v>60</v>
      </c>
      <c r="U50" s="42">
        <f t="shared" si="3"/>
        <v>2.6</v>
      </c>
      <c r="V50" s="45">
        <f>(SUM($O$2:O50)-SUM($I$2:I50))</f>
        <v>0.86000000000000654</v>
      </c>
    </row>
    <row r="51" spans="1:22" x14ac:dyDescent="0.2">
      <c r="A51" s="44">
        <v>8</v>
      </c>
      <c r="B51" s="35" t="s">
        <v>21</v>
      </c>
      <c r="C51" s="36">
        <f t="shared" si="4"/>
        <v>46138</v>
      </c>
      <c r="D51" s="35" t="s">
        <v>22</v>
      </c>
      <c r="E51" s="37">
        <v>50</v>
      </c>
      <c r="F51" s="35" t="s">
        <v>45</v>
      </c>
      <c r="G51" s="35" t="s">
        <v>76</v>
      </c>
      <c r="H51" s="37">
        <v>75</v>
      </c>
      <c r="I51" s="38">
        <v>4.2</v>
      </c>
      <c r="J51" s="38" t="str">
        <f t="shared" si="5"/>
        <v>17:51</v>
      </c>
      <c r="K51" s="35" t="s">
        <v>47</v>
      </c>
      <c r="L51" s="35"/>
      <c r="M51" s="39"/>
      <c r="N51" s="39"/>
      <c r="O51" s="40"/>
      <c r="P51" s="41"/>
      <c r="Q51" s="41"/>
      <c r="R51" s="42">
        <f t="shared" si="0"/>
        <v>0</v>
      </c>
      <c r="S51" s="43">
        <f t="shared" si="1"/>
        <v>125</v>
      </c>
      <c r="T51" s="43" t="str">
        <f t="shared" si="2"/>
        <v/>
      </c>
      <c r="U51" s="42" t="str">
        <f t="shared" si="3"/>
        <v/>
      </c>
      <c r="V51" s="45">
        <f>(SUM($O$2:O51)-SUM($I$2:I51))</f>
        <v>-3.3399999999999963</v>
      </c>
    </row>
    <row r="52" spans="1:22" x14ac:dyDescent="0.2">
      <c r="A52" s="44">
        <v>8</v>
      </c>
      <c r="B52" s="35" t="s">
        <v>21</v>
      </c>
      <c r="C52" s="36">
        <f t="shared" si="4"/>
        <v>46139</v>
      </c>
      <c r="D52" s="35" t="s">
        <v>27</v>
      </c>
      <c r="E52" s="37">
        <v>0</v>
      </c>
      <c r="F52" s="35" t="s">
        <v>48</v>
      </c>
      <c r="G52" s="35" t="s">
        <v>51</v>
      </c>
      <c r="H52" s="37">
        <v>0</v>
      </c>
      <c r="I52" s="38">
        <v>0</v>
      </c>
      <c r="J52" s="38" t="str">
        <f t="shared" si="5"/>
        <v/>
      </c>
      <c r="K52" s="35" t="s">
        <v>39</v>
      </c>
      <c r="L52" s="35" t="s">
        <v>43</v>
      </c>
      <c r="M52" s="39"/>
      <c r="N52" s="39"/>
      <c r="O52" s="40"/>
      <c r="P52" s="41"/>
      <c r="Q52" s="41"/>
      <c r="R52" s="42">
        <f t="shared" si="0"/>
        <v>1</v>
      </c>
      <c r="S52" s="43">
        <f t="shared" si="1"/>
        <v>0</v>
      </c>
      <c r="T52" s="43" t="str">
        <f t="shared" si="2"/>
        <v/>
      </c>
      <c r="U52" s="42" t="str">
        <f t="shared" si="3"/>
        <v/>
      </c>
      <c r="V52" s="45">
        <f>(SUM($O$2:O52)-SUM($I$2:I52))</f>
        <v>-3.3399999999999963</v>
      </c>
    </row>
    <row r="53" spans="1:22" x14ac:dyDescent="0.2">
      <c r="A53" s="44">
        <v>8</v>
      </c>
      <c r="B53" s="35" t="s">
        <v>21</v>
      </c>
      <c r="C53" s="36">
        <f t="shared" si="4"/>
        <v>46140</v>
      </c>
      <c r="D53" s="35" t="s">
        <v>31</v>
      </c>
      <c r="E53" s="37">
        <v>40</v>
      </c>
      <c r="F53" s="35" t="s">
        <v>23</v>
      </c>
      <c r="G53" s="35" t="s">
        <v>61</v>
      </c>
      <c r="H53" s="37">
        <v>30</v>
      </c>
      <c r="I53" s="38"/>
      <c r="J53" s="38" t="str">
        <f t="shared" si="5"/>
        <v/>
      </c>
      <c r="K53" s="35" t="s">
        <v>53</v>
      </c>
      <c r="L53" s="35"/>
      <c r="M53" s="39"/>
      <c r="N53" s="39"/>
      <c r="O53" s="40"/>
      <c r="P53" s="41"/>
      <c r="Q53" s="41"/>
      <c r="R53" s="42">
        <f t="shared" si="0"/>
        <v>0</v>
      </c>
      <c r="S53" s="43">
        <f t="shared" si="1"/>
        <v>70</v>
      </c>
      <c r="T53" s="43" t="str">
        <f t="shared" si="2"/>
        <v/>
      </c>
      <c r="U53" s="42" t="str">
        <f t="shared" si="3"/>
        <v/>
      </c>
      <c r="V53" s="45">
        <f>(SUM($O$2:O53)-SUM($I$2:I53))</f>
        <v>-3.3399999999999963</v>
      </c>
    </row>
    <row r="54" spans="1:22" x14ac:dyDescent="0.2">
      <c r="A54" s="44">
        <v>8</v>
      </c>
      <c r="B54" s="35" t="s">
        <v>21</v>
      </c>
      <c r="C54" s="36">
        <f t="shared" si="4"/>
        <v>46141</v>
      </c>
      <c r="D54" s="35" t="s">
        <v>35</v>
      </c>
      <c r="E54" s="37">
        <v>50</v>
      </c>
      <c r="F54" s="35" t="s">
        <v>23</v>
      </c>
      <c r="G54" s="35" t="s">
        <v>24</v>
      </c>
      <c r="H54" s="37">
        <v>30</v>
      </c>
      <c r="I54" s="38"/>
      <c r="J54" s="38" t="str">
        <f t="shared" si="5"/>
        <v/>
      </c>
      <c r="K54" s="35" t="s">
        <v>55</v>
      </c>
      <c r="L54" s="35"/>
      <c r="M54" s="39"/>
      <c r="N54" s="39"/>
      <c r="O54" s="40"/>
      <c r="P54" s="41"/>
      <c r="Q54" s="41"/>
      <c r="R54" s="42">
        <f t="shared" si="0"/>
        <v>0</v>
      </c>
      <c r="S54" s="43">
        <f t="shared" si="1"/>
        <v>80</v>
      </c>
      <c r="T54" s="43" t="str">
        <f t="shared" si="2"/>
        <v/>
      </c>
      <c r="U54" s="42" t="str">
        <f t="shared" si="3"/>
        <v/>
      </c>
      <c r="V54" s="45">
        <f>(SUM($O$2:O54)-SUM($I$2:I54))</f>
        <v>-3.3399999999999963</v>
      </c>
    </row>
    <row r="55" spans="1:22" x14ac:dyDescent="0.2">
      <c r="A55" s="44">
        <v>8</v>
      </c>
      <c r="B55" s="35" t="s">
        <v>21</v>
      </c>
      <c r="C55" s="36">
        <f t="shared" si="4"/>
        <v>46142</v>
      </c>
      <c r="D55" s="35" t="s">
        <v>37</v>
      </c>
      <c r="E55" s="37">
        <v>30</v>
      </c>
      <c r="F55" s="35" t="s">
        <v>28</v>
      </c>
      <c r="G55" s="35" t="s">
        <v>62</v>
      </c>
      <c r="H55" s="37">
        <v>45</v>
      </c>
      <c r="I55" s="38">
        <v>2.5</v>
      </c>
      <c r="J55" s="38" t="str">
        <f t="shared" si="5"/>
        <v>18:00</v>
      </c>
      <c r="K55" s="35" t="s">
        <v>30</v>
      </c>
      <c r="L55" s="35"/>
      <c r="M55" s="39"/>
      <c r="N55" s="39"/>
      <c r="O55" s="40"/>
      <c r="P55" s="41"/>
      <c r="Q55" s="41"/>
      <c r="R55" s="42">
        <f t="shared" si="0"/>
        <v>0</v>
      </c>
      <c r="S55" s="43">
        <f t="shared" si="1"/>
        <v>75</v>
      </c>
      <c r="T55" s="43" t="str">
        <f t="shared" si="2"/>
        <v/>
      </c>
      <c r="U55" s="42" t="str">
        <f t="shared" si="3"/>
        <v/>
      </c>
      <c r="V55" s="45">
        <f>(SUM($O$2:O55)-SUM($I$2:I55))</f>
        <v>-5.8399999999999963</v>
      </c>
    </row>
    <row r="56" spans="1:22" x14ac:dyDescent="0.2">
      <c r="A56" s="44">
        <v>8</v>
      </c>
      <c r="B56" s="35" t="s">
        <v>21</v>
      </c>
      <c r="C56" s="36">
        <f t="shared" si="4"/>
        <v>46143</v>
      </c>
      <c r="D56" s="35" t="s">
        <v>40</v>
      </c>
      <c r="E56" s="37">
        <v>60</v>
      </c>
      <c r="F56" s="35" t="s">
        <v>32</v>
      </c>
      <c r="G56" s="35" t="s">
        <v>63</v>
      </c>
      <c r="H56" s="37">
        <v>20</v>
      </c>
      <c r="I56" s="38"/>
      <c r="J56" s="38" t="str">
        <f t="shared" si="5"/>
        <v/>
      </c>
      <c r="K56" s="35" t="s">
        <v>58</v>
      </c>
      <c r="L56" s="35"/>
      <c r="M56" s="39"/>
      <c r="N56" s="39"/>
      <c r="O56" s="40"/>
      <c r="P56" s="41"/>
      <c r="Q56" s="41"/>
      <c r="R56" s="42">
        <f t="shared" si="0"/>
        <v>0</v>
      </c>
      <c r="S56" s="43">
        <f t="shared" si="1"/>
        <v>80</v>
      </c>
      <c r="T56" s="43" t="str">
        <f t="shared" si="2"/>
        <v/>
      </c>
      <c r="U56" s="42" t="str">
        <f t="shared" si="3"/>
        <v/>
      </c>
      <c r="V56" s="45">
        <f>(SUM($O$2:O56)-SUM($I$2:I56))</f>
        <v>-5.8399999999999963</v>
      </c>
    </row>
    <row r="57" spans="1:22" x14ac:dyDescent="0.2">
      <c r="A57" s="44">
        <v>8</v>
      </c>
      <c r="B57" s="35" t="s">
        <v>21</v>
      </c>
      <c r="C57" s="36">
        <f t="shared" si="4"/>
        <v>46144</v>
      </c>
      <c r="D57" s="35" t="s">
        <v>44</v>
      </c>
      <c r="E57" s="37">
        <v>20</v>
      </c>
      <c r="F57" s="35" t="s">
        <v>45</v>
      </c>
      <c r="G57" s="35" t="s">
        <v>64</v>
      </c>
      <c r="H57" s="37">
        <v>20</v>
      </c>
      <c r="I57" s="38">
        <v>1</v>
      </c>
      <c r="J57" s="38" t="str">
        <f t="shared" si="5"/>
        <v>20:00</v>
      </c>
      <c r="K57" s="35" t="s">
        <v>60</v>
      </c>
      <c r="L57" s="35"/>
      <c r="M57" s="39"/>
      <c r="N57" s="39"/>
      <c r="O57" s="40"/>
      <c r="P57" s="41"/>
      <c r="Q57" s="41"/>
      <c r="R57" s="42">
        <f t="shared" si="0"/>
        <v>0</v>
      </c>
      <c r="S57" s="43">
        <f t="shared" si="1"/>
        <v>40</v>
      </c>
      <c r="T57" s="43" t="str">
        <f t="shared" si="2"/>
        <v/>
      </c>
      <c r="U57" s="42" t="str">
        <f t="shared" si="3"/>
        <v/>
      </c>
      <c r="V57" s="45">
        <f>(SUM($O$2:O57)-SUM($I$2:I57))</f>
        <v>-6.8399999999999963</v>
      </c>
    </row>
    <row r="58" spans="1:22" x14ac:dyDescent="0.2">
      <c r="A58" s="44">
        <v>9</v>
      </c>
      <c r="B58" s="35" t="s">
        <v>77</v>
      </c>
      <c r="C58" s="36">
        <f t="shared" si="4"/>
        <v>46145</v>
      </c>
      <c r="D58" s="35" t="s">
        <v>22</v>
      </c>
      <c r="E58" s="37">
        <v>40</v>
      </c>
      <c r="F58" s="35" t="s">
        <v>78</v>
      </c>
      <c r="G58" s="35" t="s">
        <v>79</v>
      </c>
      <c r="H58" s="37">
        <v>80</v>
      </c>
      <c r="I58" s="38">
        <v>4.4000000000000004</v>
      </c>
      <c r="J58" s="38" t="str">
        <f t="shared" si="5"/>
        <v>18:11</v>
      </c>
      <c r="K58" s="35" t="s">
        <v>80</v>
      </c>
      <c r="L58" s="35"/>
      <c r="M58" s="39"/>
      <c r="N58" s="39"/>
      <c r="O58" s="40"/>
      <c r="P58" s="41"/>
      <c r="Q58" s="41"/>
      <c r="R58" s="42">
        <f t="shared" si="0"/>
        <v>0</v>
      </c>
      <c r="S58" s="43">
        <f t="shared" si="1"/>
        <v>120</v>
      </c>
      <c r="T58" s="43" t="str">
        <f t="shared" si="2"/>
        <v/>
      </c>
      <c r="U58" s="42" t="str">
        <f t="shared" si="3"/>
        <v/>
      </c>
      <c r="V58" s="45">
        <f>(SUM($O$2:O58)-SUM($I$2:I58))</f>
        <v>-11.239999999999995</v>
      </c>
    </row>
    <row r="59" spans="1:22" x14ac:dyDescent="0.2">
      <c r="A59" s="44">
        <v>9</v>
      </c>
      <c r="B59" s="35" t="s">
        <v>77</v>
      </c>
      <c r="C59" s="36">
        <f t="shared" si="4"/>
        <v>46146</v>
      </c>
      <c r="D59" s="35" t="s">
        <v>27</v>
      </c>
      <c r="E59" s="37">
        <v>0</v>
      </c>
      <c r="F59" s="35" t="s">
        <v>48</v>
      </c>
      <c r="G59" s="35" t="s">
        <v>51</v>
      </c>
      <c r="H59" s="37">
        <v>0</v>
      </c>
      <c r="I59" s="38">
        <v>0</v>
      </c>
      <c r="J59" s="38" t="str">
        <f t="shared" si="5"/>
        <v/>
      </c>
      <c r="K59" s="35" t="s">
        <v>39</v>
      </c>
      <c r="L59" s="35" t="s">
        <v>43</v>
      </c>
      <c r="M59" s="39"/>
      <c r="N59" s="39"/>
      <c r="O59" s="40"/>
      <c r="P59" s="41"/>
      <c r="Q59" s="41"/>
      <c r="R59" s="42">
        <f t="shared" si="0"/>
        <v>1</v>
      </c>
      <c r="S59" s="43">
        <f t="shared" si="1"/>
        <v>0</v>
      </c>
      <c r="T59" s="43" t="str">
        <f t="shared" si="2"/>
        <v/>
      </c>
      <c r="U59" s="42" t="str">
        <f t="shared" si="3"/>
        <v/>
      </c>
      <c r="V59" s="45">
        <f>(SUM($O$2:O59)-SUM($I$2:I59))</f>
        <v>-11.239999999999995</v>
      </c>
    </row>
    <row r="60" spans="1:22" x14ac:dyDescent="0.2">
      <c r="A60" s="44">
        <v>9</v>
      </c>
      <c r="B60" s="35" t="s">
        <v>77</v>
      </c>
      <c r="C60" s="36">
        <f t="shared" si="4"/>
        <v>46147</v>
      </c>
      <c r="D60" s="35" t="s">
        <v>31</v>
      </c>
      <c r="E60" s="37">
        <v>50</v>
      </c>
      <c r="F60" s="35" t="s">
        <v>32</v>
      </c>
      <c r="G60" s="35" t="s">
        <v>66</v>
      </c>
      <c r="H60" s="37">
        <v>25</v>
      </c>
      <c r="I60" s="38"/>
      <c r="J60" s="38" t="str">
        <f t="shared" si="5"/>
        <v/>
      </c>
      <c r="K60" s="35" t="s">
        <v>53</v>
      </c>
      <c r="L60" s="35"/>
      <c r="M60" s="39"/>
      <c r="N60" s="39"/>
      <c r="O60" s="40"/>
      <c r="P60" s="41"/>
      <c r="Q60" s="41"/>
      <c r="R60" s="42">
        <f t="shared" si="0"/>
        <v>0</v>
      </c>
      <c r="S60" s="43">
        <f t="shared" si="1"/>
        <v>75</v>
      </c>
      <c r="T60" s="43" t="str">
        <f t="shared" si="2"/>
        <v/>
      </c>
      <c r="U60" s="42" t="str">
        <f t="shared" si="3"/>
        <v/>
      </c>
      <c r="V60" s="45">
        <f>(SUM($O$2:O60)-SUM($I$2:I60))</f>
        <v>-11.239999999999995</v>
      </c>
    </row>
    <row r="61" spans="1:22" x14ac:dyDescent="0.2">
      <c r="A61" s="44">
        <v>9</v>
      </c>
      <c r="B61" s="35" t="s">
        <v>77</v>
      </c>
      <c r="C61" s="36">
        <f t="shared" si="4"/>
        <v>46148</v>
      </c>
      <c r="D61" s="35" t="s">
        <v>35</v>
      </c>
      <c r="E61" s="37">
        <v>60</v>
      </c>
      <c r="F61" s="35" t="s">
        <v>32</v>
      </c>
      <c r="G61" s="35" t="s">
        <v>67</v>
      </c>
      <c r="H61" s="37">
        <v>30</v>
      </c>
      <c r="I61" s="38"/>
      <c r="J61" s="38" t="str">
        <f t="shared" si="5"/>
        <v/>
      </c>
      <c r="K61" s="35" t="s">
        <v>55</v>
      </c>
      <c r="L61" s="35"/>
      <c r="M61" s="39"/>
      <c r="N61" s="39"/>
      <c r="O61" s="40"/>
      <c r="P61" s="41"/>
      <c r="Q61" s="41"/>
      <c r="R61" s="42">
        <f t="shared" si="0"/>
        <v>0</v>
      </c>
      <c r="S61" s="43">
        <f t="shared" si="1"/>
        <v>90</v>
      </c>
      <c r="T61" s="43" t="str">
        <f t="shared" si="2"/>
        <v/>
      </c>
      <c r="U61" s="42" t="str">
        <f t="shared" si="3"/>
        <v/>
      </c>
      <c r="V61" s="45">
        <f>(SUM($O$2:O61)-SUM($I$2:I61))</f>
        <v>-11.239999999999995</v>
      </c>
    </row>
    <row r="62" spans="1:22" x14ac:dyDescent="0.2">
      <c r="A62" s="44">
        <v>9</v>
      </c>
      <c r="B62" s="35" t="s">
        <v>77</v>
      </c>
      <c r="C62" s="36">
        <f t="shared" si="4"/>
        <v>46149</v>
      </c>
      <c r="D62" s="35" t="s">
        <v>37</v>
      </c>
      <c r="E62" s="37">
        <v>60</v>
      </c>
      <c r="F62" s="35" t="s">
        <v>28</v>
      </c>
      <c r="G62" s="35" t="s">
        <v>68</v>
      </c>
      <c r="H62" s="37">
        <v>30</v>
      </c>
      <c r="I62" s="38">
        <v>2.4</v>
      </c>
      <c r="J62" s="38" t="str">
        <f t="shared" si="5"/>
        <v>12:30</v>
      </c>
      <c r="K62" s="35" t="s">
        <v>30</v>
      </c>
      <c r="L62" s="35"/>
      <c r="M62" s="39"/>
      <c r="N62" s="39"/>
      <c r="O62" s="40"/>
      <c r="P62" s="41"/>
      <c r="Q62" s="41"/>
      <c r="R62" s="42">
        <f t="shared" si="0"/>
        <v>0</v>
      </c>
      <c r="S62" s="43">
        <f t="shared" si="1"/>
        <v>90</v>
      </c>
      <c r="T62" s="43" t="str">
        <f t="shared" si="2"/>
        <v/>
      </c>
      <c r="U62" s="42" t="str">
        <f t="shared" si="3"/>
        <v/>
      </c>
      <c r="V62" s="45">
        <f>(SUM($O$2:O62)-SUM($I$2:I62))</f>
        <v>-13.639999999999993</v>
      </c>
    </row>
    <row r="63" spans="1:22" x14ac:dyDescent="0.2">
      <c r="A63" s="44">
        <v>9</v>
      </c>
      <c r="B63" s="35" t="s">
        <v>77</v>
      </c>
      <c r="C63" s="36">
        <f t="shared" si="4"/>
        <v>46150</v>
      </c>
      <c r="D63" s="35" t="s">
        <v>40</v>
      </c>
      <c r="E63" s="37">
        <v>40</v>
      </c>
      <c r="F63" s="35" t="s">
        <v>23</v>
      </c>
      <c r="G63" s="35" t="s">
        <v>69</v>
      </c>
      <c r="H63" s="37">
        <v>25</v>
      </c>
      <c r="I63" s="38"/>
      <c r="J63" s="38" t="str">
        <f t="shared" si="5"/>
        <v/>
      </c>
      <c r="K63" s="35" t="s">
        <v>58</v>
      </c>
      <c r="L63" s="35"/>
      <c r="M63" s="39"/>
      <c r="N63" s="39"/>
      <c r="O63" s="40"/>
      <c r="P63" s="41"/>
      <c r="Q63" s="41"/>
      <c r="R63" s="42">
        <f t="shared" si="0"/>
        <v>0</v>
      </c>
      <c r="S63" s="43">
        <f t="shared" si="1"/>
        <v>65</v>
      </c>
      <c r="T63" s="43" t="str">
        <f t="shared" si="2"/>
        <v/>
      </c>
      <c r="U63" s="42" t="str">
        <f t="shared" si="3"/>
        <v/>
      </c>
      <c r="V63" s="45">
        <f>(SUM($O$2:O63)-SUM($I$2:I63))</f>
        <v>-13.639999999999993</v>
      </c>
    </row>
    <row r="64" spans="1:22" x14ac:dyDescent="0.2">
      <c r="A64" s="44">
        <v>9</v>
      </c>
      <c r="B64" s="35" t="s">
        <v>77</v>
      </c>
      <c r="C64" s="36">
        <f t="shared" si="4"/>
        <v>46151</v>
      </c>
      <c r="D64" s="35" t="s">
        <v>44</v>
      </c>
      <c r="E64" s="37">
        <v>15</v>
      </c>
      <c r="F64" s="35" t="s">
        <v>28</v>
      </c>
      <c r="G64" s="35" t="s">
        <v>70</v>
      </c>
      <c r="H64" s="37">
        <v>20</v>
      </c>
      <c r="I64" s="38">
        <v>1</v>
      </c>
      <c r="J64" s="38" t="str">
        <f t="shared" si="5"/>
        <v>20:00</v>
      </c>
      <c r="K64" s="35" t="s">
        <v>60</v>
      </c>
      <c r="L64" s="35"/>
      <c r="M64" s="39"/>
      <c r="N64" s="39"/>
      <c r="O64" s="40"/>
      <c r="P64" s="41"/>
      <c r="Q64" s="41"/>
      <c r="R64" s="42">
        <f t="shared" si="0"/>
        <v>0</v>
      </c>
      <c r="S64" s="43">
        <f t="shared" si="1"/>
        <v>35</v>
      </c>
      <c r="T64" s="43" t="str">
        <f t="shared" si="2"/>
        <v/>
      </c>
      <c r="U64" s="42" t="str">
        <f t="shared" si="3"/>
        <v/>
      </c>
      <c r="V64" s="45">
        <f>(SUM($O$2:O64)-SUM($I$2:I64))</f>
        <v>-14.639999999999993</v>
      </c>
    </row>
    <row r="65" spans="1:22" x14ac:dyDescent="0.2">
      <c r="A65" s="44">
        <v>10</v>
      </c>
      <c r="B65" s="35" t="s">
        <v>77</v>
      </c>
      <c r="C65" s="36">
        <f t="shared" si="4"/>
        <v>46152</v>
      </c>
      <c r="D65" s="35" t="s">
        <v>22</v>
      </c>
      <c r="E65" s="37">
        <v>30</v>
      </c>
      <c r="F65" s="35" t="s">
        <v>78</v>
      </c>
      <c r="G65" s="35" t="s">
        <v>81</v>
      </c>
      <c r="H65" s="37">
        <v>85</v>
      </c>
      <c r="I65" s="38">
        <v>4.7</v>
      </c>
      <c r="J65" s="38" t="str">
        <f t="shared" si="5"/>
        <v>18:05</v>
      </c>
      <c r="K65" s="35" t="s">
        <v>80</v>
      </c>
      <c r="L65" s="35"/>
      <c r="M65" s="39"/>
      <c r="N65" s="39"/>
      <c r="O65" s="40"/>
      <c r="P65" s="41"/>
      <c r="Q65" s="41"/>
      <c r="R65" s="42">
        <f t="shared" si="0"/>
        <v>0</v>
      </c>
      <c r="S65" s="43">
        <f t="shared" si="1"/>
        <v>115</v>
      </c>
      <c r="T65" s="43" t="str">
        <f t="shared" si="2"/>
        <v/>
      </c>
      <c r="U65" s="42" t="str">
        <f t="shared" si="3"/>
        <v/>
      </c>
      <c r="V65" s="45">
        <f>(SUM($O$2:O65)-SUM($I$2:I65))</f>
        <v>-19.339999999999996</v>
      </c>
    </row>
    <row r="66" spans="1:22" x14ac:dyDescent="0.2">
      <c r="A66" s="44">
        <v>10</v>
      </c>
      <c r="B66" s="35" t="s">
        <v>77</v>
      </c>
      <c r="C66" s="36">
        <f t="shared" si="4"/>
        <v>46153</v>
      </c>
      <c r="D66" s="35" t="s">
        <v>27</v>
      </c>
      <c r="E66" s="37">
        <v>0</v>
      </c>
      <c r="F66" s="35" t="s">
        <v>48</v>
      </c>
      <c r="G66" s="35" t="s">
        <v>51</v>
      </c>
      <c r="H66" s="37">
        <v>0</v>
      </c>
      <c r="I66" s="38">
        <v>0</v>
      </c>
      <c r="J66" s="38" t="str">
        <f t="shared" si="5"/>
        <v/>
      </c>
      <c r="K66" s="35" t="s">
        <v>39</v>
      </c>
      <c r="L66" s="35" t="s">
        <v>43</v>
      </c>
      <c r="M66" s="39"/>
      <c r="N66" s="39"/>
      <c r="O66" s="40"/>
      <c r="P66" s="41"/>
      <c r="Q66" s="41"/>
      <c r="R66" s="42">
        <f t="shared" ref="R66:R129" si="8">IF(L66="Done",1,IF(L66="Partial",0.5,IF(L66="Rest",1,0)))</f>
        <v>1</v>
      </c>
      <c r="S66" s="43">
        <f t="shared" ref="S66:S129" si="9">E66+H66</f>
        <v>0</v>
      </c>
      <c r="T66" s="43" t="str">
        <f t="shared" ref="T66:T129" si="10">IF(OR(M66&lt;&gt;"",N66&lt;&gt;""),M66+N66,"")</f>
        <v/>
      </c>
      <c r="U66" s="42" t="str">
        <f t="shared" ref="U66:U129" si="11">IF(O66="","",O66-I66)</f>
        <v/>
      </c>
      <c r="V66" s="45">
        <f>(SUM($O$2:O66)-SUM($I$2:I66))</f>
        <v>-19.339999999999996</v>
      </c>
    </row>
    <row r="67" spans="1:22" x14ac:dyDescent="0.2">
      <c r="A67" s="44">
        <v>10</v>
      </c>
      <c r="B67" s="35" t="s">
        <v>77</v>
      </c>
      <c r="C67" s="36">
        <f t="shared" ref="C67:C130" si="12">C66+1</f>
        <v>46154</v>
      </c>
      <c r="D67" s="35" t="s">
        <v>31</v>
      </c>
      <c r="E67" s="37">
        <v>60</v>
      </c>
      <c r="F67" s="35" t="s">
        <v>28</v>
      </c>
      <c r="G67" s="35" t="s">
        <v>71</v>
      </c>
      <c r="H67" s="37">
        <v>35</v>
      </c>
      <c r="I67" s="38">
        <v>1.8</v>
      </c>
      <c r="J67" s="38" t="str">
        <f t="shared" si="5"/>
        <v>19:27</v>
      </c>
      <c r="K67" s="35" t="s">
        <v>53</v>
      </c>
      <c r="L67" s="35"/>
      <c r="M67" s="39"/>
      <c r="N67" s="39"/>
      <c r="O67" s="40"/>
      <c r="P67" s="41"/>
      <c r="Q67" s="41"/>
      <c r="R67" s="42">
        <f t="shared" si="8"/>
        <v>0</v>
      </c>
      <c r="S67" s="43">
        <f t="shared" si="9"/>
        <v>95</v>
      </c>
      <c r="T67" s="43" t="str">
        <f t="shared" si="10"/>
        <v/>
      </c>
      <c r="U67" s="42" t="str">
        <f t="shared" si="11"/>
        <v/>
      </c>
      <c r="V67" s="45">
        <f>(SUM($O$2:O67)-SUM($I$2:I67))</f>
        <v>-21.14</v>
      </c>
    </row>
    <row r="68" spans="1:22" x14ac:dyDescent="0.2">
      <c r="A68" s="44">
        <v>10</v>
      </c>
      <c r="B68" s="35" t="s">
        <v>77</v>
      </c>
      <c r="C68" s="36">
        <f t="shared" si="12"/>
        <v>46155</v>
      </c>
      <c r="D68" s="35" t="s">
        <v>35</v>
      </c>
      <c r="E68" s="37">
        <v>30</v>
      </c>
      <c r="F68" s="35" t="s">
        <v>23</v>
      </c>
      <c r="G68" s="35" t="s">
        <v>72</v>
      </c>
      <c r="H68" s="37">
        <v>25</v>
      </c>
      <c r="I68" s="38"/>
      <c r="J68" s="38" t="str">
        <f t="shared" ref="J68:J131" si="13">IFERROR(TEXT(H68 / I68 / 1440, "m:ss"),"")</f>
        <v/>
      </c>
      <c r="K68" s="35" t="s">
        <v>55</v>
      </c>
      <c r="L68" s="35"/>
      <c r="M68" s="39"/>
      <c r="N68" s="39"/>
      <c r="O68" s="40"/>
      <c r="P68" s="41"/>
      <c r="Q68" s="41"/>
      <c r="R68" s="42">
        <f t="shared" si="8"/>
        <v>0</v>
      </c>
      <c r="S68" s="43">
        <f t="shared" si="9"/>
        <v>55</v>
      </c>
      <c r="T68" s="43" t="str">
        <f t="shared" si="10"/>
        <v/>
      </c>
      <c r="U68" s="42" t="str">
        <f t="shared" si="11"/>
        <v/>
      </c>
      <c r="V68" s="45">
        <f>(SUM($O$2:O68)-SUM($I$2:I68))</f>
        <v>-21.14</v>
      </c>
    </row>
    <row r="69" spans="1:22" x14ac:dyDescent="0.2">
      <c r="A69" s="44">
        <v>10</v>
      </c>
      <c r="B69" s="35" t="s">
        <v>77</v>
      </c>
      <c r="C69" s="36">
        <f t="shared" si="12"/>
        <v>46156</v>
      </c>
      <c r="D69" s="35" t="s">
        <v>37</v>
      </c>
      <c r="E69" s="37">
        <v>50</v>
      </c>
      <c r="F69" s="35" t="s">
        <v>28</v>
      </c>
      <c r="G69" s="35" t="s">
        <v>73</v>
      </c>
      <c r="H69" s="37">
        <v>32</v>
      </c>
      <c r="I69" s="38">
        <v>2.7</v>
      </c>
      <c r="J69" s="38" t="str">
        <f t="shared" si="13"/>
        <v>11:51</v>
      </c>
      <c r="K69" s="35" t="s">
        <v>30</v>
      </c>
      <c r="L69" s="35"/>
      <c r="M69" s="39"/>
      <c r="N69" s="39"/>
      <c r="O69" s="40"/>
      <c r="P69" s="41"/>
      <c r="Q69" s="41"/>
      <c r="R69" s="42">
        <f t="shared" si="8"/>
        <v>0</v>
      </c>
      <c r="S69" s="43">
        <f t="shared" si="9"/>
        <v>82</v>
      </c>
      <c r="T69" s="43" t="str">
        <f t="shared" si="10"/>
        <v/>
      </c>
      <c r="U69" s="42" t="str">
        <f t="shared" si="11"/>
        <v/>
      </c>
      <c r="V69" s="45">
        <f>(SUM($O$2:O69)-SUM($I$2:I69))</f>
        <v>-23.840000000000003</v>
      </c>
    </row>
    <row r="70" spans="1:22" x14ac:dyDescent="0.2">
      <c r="A70" s="44">
        <v>10</v>
      </c>
      <c r="B70" s="35" t="s">
        <v>77</v>
      </c>
      <c r="C70" s="36">
        <f t="shared" si="12"/>
        <v>46157</v>
      </c>
      <c r="D70" s="35" t="s">
        <v>40</v>
      </c>
      <c r="E70" s="37">
        <v>30</v>
      </c>
      <c r="F70" s="35" t="s">
        <v>32</v>
      </c>
      <c r="G70" s="35" t="s">
        <v>74</v>
      </c>
      <c r="H70" s="37">
        <v>20</v>
      </c>
      <c r="I70" s="38"/>
      <c r="J70" s="38" t="str">
        <f t="shared" si="13"/>
        <v/>
      </c>
      <c r="K70" s="35" t="s">
        <v>58</v>
      </c>
      <c r="L70" s="35"/>
      <c r="M70" s="39"/>
      <c r="N70" s="39"/>
      <c r="O70" s="40"/>
      <c r="P70" s="41"/>
      <c r="Q70" s="41"/>
      <c r="R70" s="42">
        <f t="shared" si="8"/>
        <v>0</v>
      </c>
      <c r="S70" s="43">
        <f t="shared" si="9"/>
        <v>50</v>
      </c>
      <c r="T70" s="43" t="str">
        <f t="shared" si="10"/>
        <v/>
      </c>
      <c r="U70" s="42" t="str">
        <f t="shared" si="11"/>
        <v/>
      </c>
      <c r="V70" s="45">
        <f>(SUM($O$2:O70)-SUM($I$2:I70))</f>
        <v>-23.840000000000003</v>
      </c>
    </row>
    <row r="71" spans="1:22" x14ac:dyDescent="0.2">
      <c r="A71" s="44">
        <v>10</v>
      </c>
      <c r="B71" s="35" t="s">
        <v>77</v>
      </c>
      <c r="C71" s="36">
        <f t="shared" si="12"/>
        <v>46158</v>
      </c>
      <c r="D71" s="35" t="s">
        <v>44</v>
      </c>
      <c r="E71" s="37">
        <v>20</v>
      </c>
      <c r="F71" s="35" t="s">
        <v>45</v>
      </c>
      <c r="G71" s="35" t="s">
        <v>75</v>
      </c>
      <c r="H71" s="37">
        <v>20</v>
      </c>
      <c r="I71" s="38">
        <v>1</v>
      </c>
      <c r="J71" s="38" t="str">
        <f t="shared" si="13"/>
        <v>20:00</v>
      </c>
      <c r="K71" s="35" t="s">
        <v>60</v>
      </c>
      <c r="L71" s="35"/>
      <c r="M71" s="39"/>
      <c r="N71" s="39"/>
      <c r="O71" s="40"/>
      <c r="P71" s="41"/>
      <c r="Q71" s="41"/>
      <c r="R71" s="42">
        <f t="shared" si="8"/>
        <v>0</v>
      </c>
      <c r="S71" s="43">
        <f t="shared" si="9"/>
        <v>40</v>
      </c>
      <c r="T71" s="43" t="str">
        <f t="shared" si="10"/>
        <v/>
      </c>
      <c r="U71" s="42" t="str">
        <f t="shared" si="11"/>
        <v/>
      </c>
      <c r="V71" s="45">
        <f>(SUM($O$2:O71)-SUM($I$2:I71))</f>
        <v>-24.840000000000003</v>
      </c>
    </row>
    <row r="72" spans="1:22" x14ac:dyDescent="0.2">
      <c r="A72" s="44">
        <v>11</v>
      </c>
      <c r="B72" s="35" t="s">
        <v>77</v>
      </c>
      <c r="C72" s="36">
        <f t="shared" si="12"/>
        <v>46159</v>
      </c>
      <c r="D72" s="35" t="s">
        <v>22</v>
      </c>
      <c r="E72" s="37">
        <v>60</v>
      </c>
      <c r="F72" s="35" t="s">
        <v>78</v>
      </c>
      <c r="G72" s="35" t="s">
        <v>81</v>
      </c>
      <c r="H72" s="37">
        <v>90</v>
      </c>
      <c r="I72" s="38">
        <v>5</v>
      </c>
      <c r="J72" s="38" t="str">
        <f t="shared" si="13"/>
        <v>18:00</v>
      </c>
      <c r="K72" s="35" t="s">
        <v>80</v>
      </c>
      <c r="L72" s="35"/>
      <c r="M72" s="39"/>
      <c r="N72" s="39"/>
      <c r="O72" s="40"/>
      <c r="P72" s="41"/>
      <c r="Q72" s="41"/>
      <c r="R72" s="42">
        <f t="shared" si="8"/>
        <v>0</v>
      </c>
      <c r="S72" s="43">
        <f t="shared" si="9"/>
        <v>150</v>
      </c>
      <c r="T72" s="43" t="str">
        <f t="shared" si="10"/>
        <v/>
      </c>
      <c r="U72" s="42" t="str">
        <f t="shared" si="11"/>
        <v/>
      </c>
      <c r="V72" s="45">
        <f>(SUM($O$2:O72)-SUM($I$2:I72))</f>
        <v>-29.840000000000003</v>
      </c>
    </row>
    <row r="73" spans="1:22" x14ac:dyDescent="0.2">
      <c r="A73" s="44">
        <v>11</v>
      </c>
      <c r="B73" s="35" t="s">
        <v>77</v>
      </c>
      <c r="C73" s="36">
        <f t="shared" si="12"/>
        <v>46160</v>
      </c>
      <c r="D73" s="35" t="s">
        <v>27</v>
      </c>
      <c r="E73" s="37">
        <v>0</v>
      </c>
      <c r="F73" s="35" t="s">
        <v>48</v>
      </c>
      <c r="G73" s="35" t="s">
        <v>51</v>
      </c>
      <c r="H73" s="37">
        <v>0</v>
      </c>
      <c r="I73" s="38">
        <v>0</v>
      </c>
      <c r="J73" s="38" t="str">
        <f t="shared" si="13"/>
        <v/>
      </c>
      <c r="K73" s="35" t="s">
        <v>39</v>
      </c>
      <c r="L73" s="35" t="s">
        <v>43</v>
      </c>
      <c r="M73" s="39"/>
      <c r="N73" s="39"/>
      <c r="O73" s="40"/>
      <c r="P73" s="41"/>
      <c r="Q73" s="41"/>
      <c r="R73" s="42">
        <f t="shared" si="8"/>
        <v>1</v>
      </c>
      <c r="S73" s="43">
        <f t="shared" si="9"/>
        <v>0</v>
      </c>
      <c r="T73" s="43" t="str">
        <f t="shared" si="10"/>
        <v/>
      </c>
      <c r="U73" s="42" t="str">
        <f t="shared" si="11"/>
        <v/>
      </c>
      <c r="V73" s="45">
        <f>(SUM($O$2:O73)-SUM($I$2:I73))</f>
        <v>-29.840000000000003</v>
      </c>
    </row>
    <row r="74" spans="1:22" x14ac:dyDescent="0.2">
      <c r="A74" s="44">
        <v>11</v>
      </c>
      <c r="B74" s="35" t="s">
        <v>77</v>
      </c>
      <c r="C74" s="36">
        <f t="shared" si="12"/>
        <v>46161</v>
      </c>
      <c r="D74" s="35" t="s">
        <v>31</v>
      </c>
      <c r="E74" s="37">
        <v>30</v>
      </c>
      <c r="F74" s="35" t="s">
        <v>28</v>
      </c>
      <c r="G74" s="35" t="s">
        <v>52</v>
      </c>
      <c r="H74" s="37">
        <v>30</v>
      </c>
      <c r="I74" s="38">
        <v>1.5</v>
      </c>
      <c r="J74" s="38" t="str">
        <f t="shared" si="13"/>
        <v>20:00</v>
      </c>
      <c r="K74" s="35" t="s">
        <v>53</v>
      </c>
      <c r="L74" s="35"/>
      <c r="M74" s="39"/>
      <c r="N74" s="39"/>
      <c r="O74" s="40"/>
      <c r="P74" s="41"/>
      <c r="Q74" s="41"/>
      <c r="R74" s="42">
        <f t="shared" si="8"/>
        <v>0</v>
      </c>
      <c r="S74" s="43">
        <f t="shared" si="9"/>
        <v>60</v>
      </c>
      <c r="T74" s="43" t="str">
        <f t="shared" si="10"/>
        <v/>
      </c>
      <c r="U74" s="42" t="str">
        <f t="shared" si="11"/>
        <v/>
      </c>
      <c r="V74" s="45">
        <f>(SUM($O$2:O74)-SUM($I$2:I74))</f>
        <v>-31.340000000000003</v>
      </c>
    </row>
    <row r="75" spans="1:22" x14ac:dyDescent="0.2">
      <c r="A75" s="44">
        <v>11</v>
      </c>
      <c r="B75" s="35" t="s">
        <v>77</v>
      </c>
      <c r="C75" s="36">
        <f t="shared" si="12"/>
        <v>46162</v>
      </c>
      <c r="D75" s="35" t="s">
        <v>35</v>
      </c>
      <c r="E75" s="37">
        <v>40</v>
      </c>
      <c r="F75" s="35" t="s">
        <v>32</v>
      </c>
      <c r="G75" s="35" t="s">
        <v>54</v>
      </c>
      <c r="H75" s="37">
        <v>25</v>
      </c>
      <c r="I75" s="38"/>
      <c r="J75" s="38" t="str">
        <f t="shared" si="13"/>
        <v/>
      </c>
      <c r="K75" s="35" t="s">
        <v>55</v>
      </c>
      <c r="L75" s="35"/>
      <c r="M75" s="39"/>
      <c r="N75" s="39"/>
      <c r="O75" s="40"/>
      <c r="P75" s="41"/>
      <c r="Q75" s="41"/>
      <c r="R75" s="42">
        <f t="shared" si="8"/>
        <v>0</v>
      </c>
      <c r="S75" s="43">
        <f t="shared" si="9"/>
        <v>65</v>
      </c>
      <c r="T75" s="43" t="str">
        <f t="shared" si="10"/>
        <v/>
      </c>
      <c r="U75" s="42" t="str">
        <f t="shared" si="11"/>
        <v/>
      </c>
      <c r="V75" s="45">
        <f>(SUM($O$2:O75)-SUM($I$2:I75))</f>
        <v>-31.340000000000003</v>
      </c>
    </row>
    <row r="76" spans="1:22" x14ac:dyDescent="0.2">
      <c r="A76" s="44">
        <v>11</v>
      </c>
      <c r="B76" s="35" t="s">
        <v>77</v>
      </c>
      <c r="C76" s="36">
        <f t="shared" si="12"/>
        <v>46163</v>
      </c>
      <c r="D76" s="35" t="s">
        <v>37</v>
      </c>
      <c r="E76" s="37">
        <v>40</v>
      </c>
      <c r="F76" s="35" t="s">
        <v>28</v>
      </c>
      <c r="G76" s="35" t="s">
        <v>56</v>
      </c>
      <c r="H76" s="37">
        <v>34</v>
      </c>
      <c r="I76" s="38">
        <v>3</v>
      </c>
      <c r="J76" s="38" t="str">
        <f t="shared" si="13"/>
        <v>11:20</v>
      </c>
      <c r="K76" s="35" t="s">
        <v>30</v>
      </c>
      <c r="L76" s="35"/>
      <c r="M76" s="39"/>
      <c r="N76" s="39"/>
      <c r="O76" s="40"/>
      <c r="P76" s="41"/>
      <c r="Q76" s="41"/>
      <c r="R76" s="42">
        <f t="shared" si="8"/>
        <v>0</v>
      </c>
      <c r="S76" s="43">
        <f t="shared" si="9"/>
        <v>74</v>
      </c>
      <c r="T76" s="43" t="str">
        <f t="shared" si="10"/>
        <v/>
      </c>
      <c r="U76" s="42" t="str">
        <f t="shared" si="11"/>
        <v/>
      </c>
      <c r="V76" s="45">
        <f>(SUM($O$2:O76)-SUM($I$2:I76))</f>
        <v>-34.340000000000003</v>
      </c>
    </row>
    <row r="77" spans="1:22" x14ac:dyDescent="0.2">
      <c r="A77" s="44">
        <v>11</v>
      </c>
      <c r="B77" s="35" t="s">
        <v>77</v>
      </c>
      <c r="C77" s="36">
        <f t="shared" si="12"/>
        <v>46164</v>
      </c>
      <c r="D77" s="35" t="s">
        <v>40</v>
      </c>
      <c r="E77" s="37">
        <v>50</v>
      </c>
      <c r="F77" s="35" t="s">
        <v>23</v>
      </c>
      <c r="G77" s="35" t="s">
        <v>57</v>
      </c>
      <c r="H77" s="37">
        <v>20</v>
      </c>
      <c r="I77" s="38"/>
      <c r="J77" s="38" t="str">
        <f t="shared" si="13"/>
        <v/>
      </c>
      <c r="K77" s="35" t="s">
        <v>58</v>
      </c>
      <c r="L77" s="35"/>
      <c r="M77" s="39"/>
      <c r="N77" s="39"/>
      <c r="O77" s="40"/>
      <c r="P77" s="41"/>
      <c r="Q77" s="41"/>
      <c r="R77" s="42">
        <f t="shared" si="8"/>
        <v>0</v>
      </c>
      <c r="S77" s="43">
        <f t="shared" si="9"/>
        <v>70</v>
      </c>
      <c r="T77" s="43" t="str">
        <f t="shared" si="10"/>
        <v/>
      </c>
      <c r="U77" s="42" t="str">
        <f t="shared" si="11"/>
        <v/>
      </c>
      <c r="V77" s="45">
        <f>(SUM($O$2:O77)-SUM($I$2:I77))</f>
        <v>-34.340000000000003</v>
      </c>
    </row>
    <row r="78" spans="1:22" x14ac:dyDescent="0.2">
      <c r="A78" s="44">
        <v>11</v>
      </c>
      <c r="B78" s="35" t="s">
        <v>77</v>
      </c>
      <c r="C78" s="36">
        <f t="shared" si="12"/>
        <v>46165</v>
      </c>
      <c r="D78" s="35" t="s">
        <v>44</v>
      </c>
      <c r="E78" s="37">
        <v>15</v>
      </c>
      <c r="F78" s="35" t="s">
        <v>45</v>
      </c>
      <c r="G78" s="35" t="s">
        <v>59</v>
      </c>
      <c r="H78" s="37">
        <v>20</v>
      </c>
      <c r="I78" s="38">
        <v>1</v>
      </c>
      <c r="J78" s="38" t="str">
        <f t="shared" si="13"/>
        <v>20:00</v>
      </c>
      <c r="K78" s="35" t="s">
        <v>60</v>
      </c>
      <c r="L78" s="35"/>
      <c r="M78" s="39"/>
      <c r="N78" s="39"/>
      <c r="O78" s="40"/>
      <c r="P78" s="41"/>
      <c r="Q78" s="41"/>
      <c r="R78" s="42">
        <f t="shared" si="8"/>
        <v>0</v>
      </c>
      <c r="S78" s="43">
        <f t="shared" si="9"/>
        <v>35</v>
      </c>
      <c r="T78" s="43" t="str">
        <f t="shared" si="10"/>
        <v/>
      </c>
      <c r="U78" s="42" t="str">
        <f t="shared" si="11"/>
        <v/>
      </c>
      <c r="V78" s="45">
        <f>(SUM($O$2:O78)-SUM($I$2:I78))</f>
        <v>-35.340000000000003</v>
      </c>
    </row>
    <row r="79" spans="1:22" x14ac:dyDescent="0.2">
      <c r="A79" s="44">
        <v>12</v>
      </c>
      <c r="B79" s="35" t="s">
        <v>77</v>
      </c>
      <c r="C79" s="36">
        <f t="shared" si="12"/>
        <v>46166</v>
      </c>
      <c r="D79" s="35" t="s">
        <v>22</v>
      </c>
      <c r="E79" s="37">
        <v>50</v>
      </c>
      <c r="F79" s="35" t="s">
        <v>78</v>
      </c>
      <c r="G79" s="35" t="s">
        <v>81</v>
      </c>
      <c r="H79" s="37">
        <v>90</v>
      </c>
      <c r="I79" s="38">
        <v>5</v>
      </c>
      <c r="J79" s="38" t="str">
        <f t="shared" si="13"/>
        <v>18:00</v>
      </c>
      <c r="K79" s="35" t="s">
        <v>80</v>
      </c>
      <c r="L79" s="35"/>
      <c r="M79" s="39"/>
      <c r="N79" s="39"/>
      <c r="O79" s="40"/>
      <c r="P79" s="41"/>
      <c r="Q79" s="41"/>
      <c r="R79" s="42">
        <f t="shared" si="8"/>
        <v>0</v>
      </c>
      <c r="S79" s="43">
        <f t="shared" si="9"/>
        <v>140</v>
      </c>
      <c r="T79" s="43" t="str">
        <f t="shared" si="10"/>
        <v/>
      </c>
      <c r="U79" s="42" t="str">
        <f t="shared" si="11"/>
        <v/>
      </c>
      <c r="V79" s="45">
        <f>(SUM($O$2:O79)-SUM($I$2:I79))</f>
        <v>-40.340000000000003</v>
      </c>
    </row>
    <row r="80" spans="1:22" x14ac:dyDescent="0.2">
      <c r="A80" s="44">
        <v>12</v>
      </c>
      <c r="B80" s="35" t="s">
        <v>77</v>
      </c>
      <c r="C80" s="36">
        <f t="shared" si="12"/>
        <v>46167</v>
      </c>
      <c r="D80" s="35" t="s">
        <v>27</v>
      </c>
      <c r="E80" s="37">
        <v>0</v>
      </c>
      <c r="F80" s="35" t="s">
        <v>48</v>
      </c>
      <c r="G80" s="35" t="s">
        <v>51</v>
      </c>
      <c r="H80" s="37">
        <v>0</v>
      </c>
      <c r="I80" s="38">
        <v>0</v>
      </c>
      <c r="J80" s="38" t="str">
        <f t="shared" si="13"/>
        <v/>
      </c>
      <c r="K80" s="35" t="s">
        <v>39</v>
      </c>
      <c r="L80" s="35" t="s">
        <v>43</v>
      </c>
      <c r="M80" s="39"/>
      <c r="N80" s="39"/>
      <c r="O80" s="40"/>
      <c r="P80" s="41"/>
      <c r="Q80" s="41"/>
      <c r="R80" s="42">
        <f t="shared" si="8"/>
        <v>1</v>
      </c>
      <c r="S80" s="43">
        <f t="shared" si="9"/>
        <v>0</v>
      </c>
      <c r="T80" s="43" t="str">
        <f t="shared" si="10"/>
        <v/>
      </c>
      <c r="U80" s="42" t="str">
        <f t="shared" si="11"/>
        <v/>
      </c>
      <c r="V80" s="45">
        <f>(SUM($O$2:O80)-SUM($I$2:I80))</f>
        <v>-40.340000000000003</v>
      </c>
    </row>
    <row r="81" spans="1:22" x14ac:dyDescent="0.2">
      <c r="A81" s="44">
        <v>12</v>
      </c>
      <c r="B81" s="35" t="s">
        <v>77</v>
      </c>
      <c r="C81" s="36">
        <f t="shared" si="12"/>
        <v>46168</v>
      </c>
      <c r="D81" s="35" t="s">
        <v>31</v>
      </c>
      <c r="E81" s="37">
        <v>40</v>
      </c>
      <c r="F81" s="35" t="s">
        <v>23</v>
      </c>
      <c r="G81" s="35" t="s">
        <v>61</v>
      </c>
      <c r="H81" s="37">
        <v>30</v>
      </c>
      <c r="I81" s="38"/>
      <c r="J81" s="38" t="str">
        <f t="shared" si="13"/>
        <v/>
      </c>
      <c r="K81" s="35" t="s">
        <v>53</v>
      </c>
      <c r="L81" s="35"/>
      <c r="M81" s="39"/>
      <c r="N81" s="39"/>
      <c r="O81" s="40"/>
      <c r="P81" s="41"/>
      <c r="Q81" s="41"/>
      <c r="R81" s="42">
        <f t="shared" si="8"/>
        <v>0</v>
      </c>
      <c r="S81" s="43">
        <f t="shared" si="9"/>
        <v>70</v>
      </c>
      <c r="T81" s="43" t="str">
        <f t="shared" si="10"/>
        <v/>
      </c>
      <c r="U81" s="42" t="str">
        <f t="shared" si="11"/>
        <v/>
      </c>
      <c r="V81" s="45">
        <f>(SUM($O$2:O81)-SUM($I$2:I81))</f>
        <v>-40.340000000000003</v>
      </c>
    </row>
    <row r="82" spans="1:22" x14ac:dyDescent="0.2">
      <c r="A82" s="44">
        <v>12</v>
      </c>
      <c r="B82" s="35" t="s">
        <v>77</v>
      </c>
      <c r="C82" s="36">
        <f t="shared" si="12"/>
        <v>46169</v>
      </c>
      <c r="D82" s="35" t="s">
        <v>35</v>
      </c>
      <c r="E82" s="37">
        <v>50</v>
      </c>
      <c r="F82" s="35" t="s">
        <v>23</v>
      </c>
      <c r="G82" s="35" t="s">
        <v>24</v>
      </c>
      <c r="H82" s="37">
        <v>30</v>
      </c>
      <c r="I82" s="38"/>
      <c r="J82" s="38" t="str">
        <f t="shared" si="13"/>
        <v/>
      </c>
      <c r="K82" s="35" t="s">
        <v>55</v>
      </c>
      <c r="L82" s="35"/>
      <c r="M82" s="39"/>
      <c r="N82" s="39"/>
      <c r="O82" s="40"/>
      <c r="P82" s="41"/>
      <c r="Q82" s="41"/>
      <c r="R82" s="42">
        <f t="shared" si="8"/>
        <v>0</v>
      </c>
      <c r="S82" s="43">
        <f t="shared" si="9"/>
        <v>80</v>
      </c>
      <c r="T82" s="43" t="str">
        <f t="shared" si="10"/>
        <v/>
      </c>
      <c r="U82" s="42" t="str">
        <f t="shared" si="11"/>
        <v/>
      </c>
      <c r="V82" s="45">
        <f>(SUM($O$2:O82)-SUM($I$2:I82))</f>
        <v>-40.340000000000003</v>
      </c>
    </row>
    <row r="83" spans="1:22" x14ac:dyDescent="0.2">
      <c r="A83" s="44">
        <v>12</v>
      </c>
      <c r="B83" s="35" t="s">
        <v>77</v>
      </c>
      <c r="C83" s="36">
        <f t="shared" si="12"/>
        <v>46170</v>
      </c>
      <c r="D83" s="35" t="s">
        <v>37</v>
      </c>
      <c r="E83" s="37">
        <v>30</v>
      </c>
      <c r="F83" s="35" t="s">
        <v>28</v>
      </c>
      <c r="G83" s="35" t="s">
        <v>62</v>
      </c>
      <c r="H83" s="37">
        <v>36</v>
      </c>
      <c r="I83" s="38">
        <v>3.2</v>
      </c>
      <c r="J83" s="38" t="str">
        <f t="shared" si="13"/>
        <v>11:15</v>
      </c>
      <c r="K83" s="35" t="s">
        <v>30</v>
      </c>
      <c r="L83" s="35"/>
      <c r="M83" s="39"/>
      <c r="N83" s="39"/>
      <c r="O83" s="40"/>
      <c r="P83" s="41"/>
      <c r="Q83" s="41"/>
      <c r="R83" s="42">
        <f t="shared" si="8"/>
        <v>0</v>
      </c>
      <c r="S83" s="43">
        <f t="shared" si="9"/>
        <v>66</v>
      </c>
      <c r="T83" s="43" t="str">
        <f t="shared" si="10"/>
        <v/>
      </c>
      <c r="U83" s="42" t="str">
        <f t="shared" si="11"/>
        <v/>
      </c>
      <c r="V83" s="45">
        <f>(SUM($O$2:O83)-SUM($I$2:I83))</f>
        <v>-43.540000000000006</v>
      </c>
    </row>
    <row r="84" spans="1:22" x14ac:dyDescent="0.2">
      <c r="A84" s="44">
        <v>12</v>
      </c>
      <c r="B84" s="35" t="s">
        <v>77</v>
      </c>
      <c r="C84" s="36">
        <f t="shared" si="12"/>
        <v>46171</v>
      </c>
      <c r="D84" s="35" t="s">
        <v>40</v>
      </c>
      <c r="E84" s="37">
        <v>60</v>
      </c>
      <c r="F84" s="35" t="s">
        <v>32</v>
      </c>
      <c r="G84" s="35" t="s">
        <v>63</v>
      </c>
      <c r="H84" s="37">
        <v>20</v>
      </c>
      <c r="I84" s="38"/>
      <c r="J84" s="38" t="str">
        <f t="shared" si="13"/>
        <v/>
      </c>
      <c r="K84" s="35" t="s">
        <v>58</v>
      </c>
      <c r="L84" s="35"/>
      <c r="M84" s="39"/>
      <c r="N84" s="39"/>
      <c r="O84" s="40"/>
      <c r="P84" s="41"/>
      <c r="Q84" s="41"/>
      <c r="R84" s="42">
        <f t="shared" si="8"/>
        <v>0</v>
      </c>
      <c r="S84" s="43">
        <f t="shared" si="9"/>
        <v>80</v>
      </c>
      <c r="T84" s="43" t="str">
        <f t="shared" si="10"/>
        <v/>
      </c>
      <c r="U84" s="42" t="str">
        <f t="shared" si="11"/>
        <v/>
      </c>
      <c r="V84" s="45">
        <f>(SUM($O$2:O84)-SUM($I$2:I84))</f>
        <v>-43.540000000000006</v>
      </c>
    </row>
    <row r="85" spans="1:22" x14ac:dyDescent="0.2">
      <c r="A85" s="44">
        <v>12</v>
      </c>
      <c r="B85" s="35" t="s">
        <v>77</v>
      </c>
      <c r="C85" s="36">
        <f t="shared" si="12"/>
        <v>46172</v>
      </c>
      <c r="D85" s="35" t="s">
        <v>44</v>
      </c>
      <c r="E85" s="37">
        <v>20</v>
      </c>
      <c r="F85" s="35" t="s">
        <v>45</v>
      </c>
      <c r="G85" s="35" t="s">
        <v>64</v>
      </c>
      <c r="H85" s="37">
        <v>20</v>
      </c>
      <c r="I85" s="38">
        <v>1</v>
      </c>
      <c r="J85" s="38" t="str">
        <f t="shared" si="13"/>
        <v>20:00</v>
      </c>
      <c r="K85" s="35" t="s">
        <v>60</v>
      </c>
      <c r="L85" s="35"/>
      <c r="M85" s="39"/>
      <c r="N85" s="39"/>
      <c r="O85" s="40"/>
      <c r="P85" s="41"/>
      <c r="Q85" s="41"/>
      <c r="R85" s="42">
        <f t="shared" si="8"/>
        <v>0</v>
      </c>
      <c r="S85" s="43">
        <f t="shared" si="9"/>
        <v>40</v>
      </c>
      <c r="T85" s="43" t="str">
        <f t="shared" si="10"/>
        <v/>
      </c>
      <c r="U85" s="42" t="str">
        <f t="shared" si="11"/>
        <v/>
      </c>
      <c r="V85" s="45">
        <f>(SUM($O$2:O85)-SUM($I$2:I85))</f>
        <v>-44.540000000000006</v>
      </c>
    </row>
    <row r="86" spans="1:22" x14ac:dyDescent="0.2">
      <c r="A86" s="44">
        <v>13</v>
      </c>
      <c r="B86" s="35" t="s">
        <v>82</v>
      </c>
      <c r="C86" s="36">
        <f t="shared" si="12"/>
        <v>46173</v>
      </c>
      <c r="D86" s="35" t="s">
        <v>22</v>
      </c>
      <c r="E86" s="37">
        <v>40</v>
      </c>
      <c r="F86" s="35" t="s">
        <v>78</v>
      </c>
      <c r="G86" s="35" t="s">
        <v>83</v>
      </c>
      <c r="H86" s="37">
        <v>44</v>
      </c>
      <c r="I86" s="38">
        <v>3</v>
      </c>
      <c r="J86" s="38" t="str">
        <f t="shared" si="13"/>
        <v>14:40</v>
      </c>
      <c r="K86" s="35" t="s">
        <v>80</v>
      </c>
      <c r="L86" s="35"/>
      <c r="M86" s="39"/>
      <c r="N86" s="39"/>
      <c r="O86" s="40"/>
      <c r="P86" s="41"/>
      <c r="Q86" s="41"/>
      <c r="R86" s="42">
        <f t="shared" si="8"/>
        <v>0</v>
      </c>
      <c r="S86" s="43">
        <f t="shared" si="9"/>
        <v>84</v>
      </c>
      <c r="T86" s="43" t="str">
        <f t="shared" si="10"/>
        <v/>
      </c>
      <c r="U86" s="42" t="str">
        <f t="shared" si="11"/>
        <v/>
      </c>
      <c r="V86" s="45">
        <f>(SUM($O$2:O86)-SUM($I$2:I86))</f>
        <v>-47.540000000000006</v>
      </c>
    </row>
    <row r="87" spans="1:22" x14ac:dyDescent="0.2">
      <c r="A87" s="44">
        <v>13</v>
      </c>
      <c r="B87" s="35" t="s">
        <v>82</v>
      </c>
      <c r="C87" s="36">
        <f t="shared" si="12"/>
        <v>46174</v>
      </c>
      <c r="D87" s="35" t="s">
        <v>27</v>
      </c>
      <c r="E87" s="37">
        <v>0</v>
      </c>
      <c r="F87" s="35" t="s">
        <v>48</v>
      </c>
      <c r="G87" s="35" t="s">
        <v>51</v>
      </c>
      <c r="H87" s="37">
        <v>0</v>
      </c>
      <c r="I87" s="38">
        <v>0</v>
      </c>
      <c r="J87" s="38" t="str">
        <f t="shared" si="13"/>
        <v/>
      </c>
      <c r="K87" s="35" t="s">
        <v>39</v>
      </c>
      <c r="L87" s="35" t="s">
        <v>43</v>
      </c>
      <c r="M87" s="39"/>
      <c r="N87" s="39"/>
      <c r="O87" s="40"/>
      <c r="P87" s="41"/>
      <c r="Q87" s="41"/>
      <c r="R87" s="42">
        <f t="shared" si="8"/>
        <v>1</v>
      </c>
      <c r="S87" s="43">
        <f t="shared" si="9"/>
        <v>0</v>
      </c>
      <c r="T87" s="43" t="str">
        <f t="shared" si="10"/>
        <v/>
      </c>
      <c r="U87" s="42" t="str">
        <f t="shared" si="11"/>
        <v/>
      </c>
      <c r="V87" s="45">
        <f>(SUM($O$2:O87)-SUM($I$2:I87))</f>
        <v>-47.540000000000006</v>
      </c>
    </row>
    <row r="88" spans="1:22" x14ac:dyDescent="0.2">
      <c r="A88" s="44">
        <v>13</v>
      </c>
      <c r="B88" s="35" t="s">
        <v>82</v>
      </c>
      <c r="C88" s="36">
        <f t="shared" si="12"/>
        <v>46175</v>
      </c>
      <c r="D88" s="35" t="s">
        <v>31</v>
      </c>
      <c r="E88" s="37">
        <v>50</v>
      </c>
      <c r="F88" s="35" t="s">
        <v>32</v>
      </c>
      <c r="G88" s="35" t="s">
        <v>66</v>
      </c>
      <c r="H88" s="37">
        <v>25</v>
      </c>
      <c r="I88" s="38"/>
      <c r="J88" s="38" t="str">
        <f t="shared" si="13"/>
        <v/>
      </c>
      <c r="K88" s="35" t="s">
        <v>53</v>
      </c>
      <c r="L88" s="35"/>
      <c r="M88" s="39"/>
      <c r="N88" s="39"/>
      <c r="O88" s="40"/>
      <c r="P88" s="41"/>
      <c r="Q88" s="41"/>
      <c r="R88" s="42">
        <f t="shared" si="8"/>
        <v>0</v>
      </c>
      <c r="S88" s="43">
        <f t="shared" si="9"/>
        <v>75</v>
      </c>
      <c r="T88" s="43" t="str">
        <f t="shared" si="10"/>
        <v/>
      </c>
      <c r="U88" s="42" t="str">
        <f t="shared" si="11"/>
        <v/>
      </c>
      <c r="V88" s="45">
        <f>(SUM($O$2:O88)-SUM($I$2:I88))</f>
        <v>-47.540000000000006</v>
      </c>
    </row>
    <row r="89" spans="1:22" x14ac:dyDescent="0.2">
      <c r="A89" s="44">
        <v>13</v>
      </c>
      <c r="B89" s="35" t="s">
        <v>82</v>
      </c>
      <c r="C89" s="36">
        <f t="shared" si="12"/>
        <v>46176</v>
      </c>
      <c r="D89" s="35" t="s">
        <v>35</v>
      </c>
      <c r="E89" s="37">
        <v>60</v>
      </c>
      <c r="F89" s="35" t="s">
        <v>32</v>
      </c>
      <c r="G89" s="35" t="s">
        <v>67</v>
      </c>
      <c r="H89" s="37">
        <v>30</v>
      </c>
      <c r="I89" s="38"/>
      <c r="J89" s="38" t="str">
        <f t="shared" si="13"/>
        <v/>
      </c>
      <c r="K89" s="35" t="s">
        <v>55</v>
      </c>
      <c r="L89" s="35"/>
      <c r="M89" s="39"/>
      <c r="N89" s="39"/>
      <c r="O89" s="40"/>
      <c r="P89" s="41"/>
      <c r="Q89" s="41"/>
      <c r="R89" s="42">
        <f t="shared" si="8"/>
        <v>0</v>
      </c>
      <c r="S89" s="43">
        <f t="shared" si="9"/>
        <v>90</v>
      </c>
      <c r="T89" s="43" t="str">
        <f t="shared" si="10"/>
        <v/>
      </c>
      <c r="U89" s="42" t="str">
        <f t="shared" si="11"/>
        <v/>
      </c>
      <c r="V89" s="45">
        <f>(SUM($O$2:O89)-SUM($I$2:I89))</f>
        <v>-47.540000000000006</v>
      </c>
    </row>
    <row r="90" spans="1:22" x14ac:dyDescent="0.2">
      <c r="A90" s="44">
        <v>13</v>
      </c>
      <c r="B90" s="35" t="s">
        <v>82</v>
      </c>
      <c r="C90" s="36">
        <f t="shared" si="12"/>
        <v>46177</v>
      </c>
      <c r="D90" s="35" t="s">
        <v>37</v>
      </c>
      <c r="E90" s="37">
        <v>60</v>
      </c>
      <c r="F90" s="35" t="s">
        <v>28</v>
      </c>
      <c r="G90" s="35" t="s">
        <v>68</v>
      </c>
      <c r="H90" s="37">
        <v>40</v>
      </c>
      <c r="I90" s="38">
        <v>3</v>
      </c>
      <c r="J90" s="38" t="str">
        <f t="shared" si="13"/>
        <v>13:20</v>
      </c>
      <c r="K90" s="35" t="s">
        <v>30</v>
      </c>
      <c r="L90" s="35"/>
      <c r="M90" s="39"/>
      <c r="N90" s="39"/>
      <c r="O90" s="40"/>
      <c r="P90" s="41"/>
      <c r="Q90" s="41"/>
      <c r="R90" s="42">
        <f t="shared" si="8"/>
        <v>0</v>
      </c>
      <c r="S90" s="43">
        <f t="shared" si="9"/>
        <v>100</v>
      </c>
      <c r="T90" s="43" t="str">
        <f t="shared" si="10"/>
        <v/>
      </c>
      <c r="U90" s="42" t="str">
        <f t="shared" si="11"/>
        <v/>
      </c>
      <c r="V90" s="45">
        <f>(SUM($O$2:O90)-SUM($I$2:I90))</f>
        <v>-50.540000000000006</v>
      </c>
    </row>
    <row r="91" spans="1:22" x14ac:dyDescent="0.2">
      <c r="A91" s="44">
        <v>13</v>
      </c>
      <c r="B91" s="35" t="s">
        <v>82</v>
      </c>
      <c r="C91" s="36">
        <f t="shared" si="12"/>
        <v>46178</v>
      </c>
      <c r="D91" s="35" t="s">
        <v>40</v>
      </c>
      <c r="E91" s="37">
        <v>40</v>
      </c>
      <c r="F91" s="35" t="s">
        <v>23</v>
      </c>
      <c r="G91" s="35" t="s">
        <v>69</v>
      </c>
      <c r="H91" s="37">
        <v>25</v>
      </c>
      <c r="I91" s="38"/>
      <c r="J91" s="38" t="str">
        <f t="shared" si="13"/>
        <v/>
      </c>
      <c r="K91" s="35" t="s">
        <v>58</v>
      </c>
      <c r="L91" s="35"/>
      <c r="M91" s="39"/>
      <c r="N91" s="39"/>
      <c r="O91" s="40"/>
      <c r="P91" s="41"/>
      <c r="Q91" s="41"/>
      <c r="R91" s="42">
        <f t="shared" si="8"/>
        <v>0</v>
      </c>
      <c r="S91" s="43">
        <f t="shared" si="9"/>
        <v>65</v>
      </c>
      <c r="T91" s="43" t="str">
        <f t="shared" si="10"/>
        <v/>
      </c>
      <c r="U91" s="42" t="str">
        <f t="shared" si="11"/>
        <v/>
      </c>
      <c r="V91" s="45">
        <f>(SUM($O$2:O91)-SUM($I$2:I91))</f>
        <v>-50.540000000000006</v>
      </c>
    </row>
    <row r="92" spans="1:22" x14ac:dyDescent="0.2">
      <c r="A92" s="44">
        <v>13</v>
      </c>
      <c r="B92" s="35" t="s">
        <v>82</v>
      </c>
      <c r="C92" s="36">
        <f t="shared" si="12"/>
        <v>46179</v>
      </c>
      <c r="D92" s="35" t="s">
        <v>44</v>
      </c>
      <c r="E92" s="37">
        <v>15</v>
      </c>
      <c r="F92" s="35" t="s">
        <v>28</v>
      </c>
      <c r="G92" s="35" t="s">
        <v>70</v>
      </c>
      <c r="H92" s="37">
        <v>25</v>
      </c>
      <c r="I92" s="38">
        <v>1.2</v>
      </c>
      <c r="J92" s="38" t="str">
        <f t="shared" si="13"/>
        <v>20:50</v>
      </c>
      <c r="K92" s="35" t="s">
        <v>60</v>
      </c>
      <c r="L92" s="35"/>
      <c r="M92" s="39"/>
      <c r="N92" s="39"/>
      <c r="O92" s="40"/>
      <c r="P92" s="41"/>
      <c r="Q92" s="41"/>
      <c r="R92" s="42">
        <f t="shared" si="8"/>
        <v>0</v>
      </c>
      <c r="S92" s="43">
        <f t="shared" si="9"/>
        <v>40</v>
      </c>
      <c r="T92" s="43" t="str">
        <f t="shared" si="10"/>
        <v/>
      </c>
      <c r="U92" s="42" t="str">
        <f t="shared" si="11"/>
        <v/>
      </c>
      <c r="V92" s="45">
        <f>(SUM($O$2:O92)-SUM($I$2:I92))</f>
        <v>-51.740000000000009</v>
      </c>
    </row>
    <row r="93" spans="1:22" x14ac:dyDescent="0.2">
      <c r="A93" s="44">
        <v>14</v>
      </c>
      <c r="B93" s="35" t="s">
        <v>82</v>
      </c>
      <c r="C93" s="36">
        <f t="shared" si="12"/>
        <v>46180</v>
      </c>
      <c r="D93" s="35" t="s">
        <v>22</v>
      </c>
      <c r="E93" s="37">
        <v>30</v>
      </c>
      <c r="F93" s="35" t="s">
        <v>78</v>
      </c>
      <c r="G93" s="35" t="s">
        <v>83</v>
      </c>
      <c r="H93" s="37">
        <v>51</v>
      </c>
      <c r="I93" s="38">
        <v>3.5</v>
      </c>
      <c r="J93" s="38" t="str">
        <f t="shared" si="13"/>
        <v>14:34</v>
      </c>
      <c r="K93" s="35" t="s">
        <v>80</v>
      </c>
      <c r="L93" s="35"/>
      <c r="M93" s="39"/>
      <c r="N93" s="39"/>
      <c r="O93" s="40"/>
      <c r="P93" s="41"/>
      <c r="Q93" s="41"/>
      <c r="R93" s="42">
        <f t="shared" si="8"/>
        <v>0</v>
      </c>
      <c r="S93" s="43">
        <f t="shared" si="9"/>
        <v>81</v>
      </c>
      <c r="T93" s="43" t="str">
        <f t="shared" si="10"/>
        <v/>
      </c>
      <c r="U93" s="42" t="str">
        <f t="shared" si="11"/>
        <v/>
      </c>
      <c r="V93" s="45">
        <f>(SUM($O$2:O93)-SUM($I$2:I93))</f>
        <v>-55.240000000000009</v>
      </c>
    </row>
    <row r="94" spans="1:22" x14ac:dyDescent="0.2">
      <c r="A94" s="44">
        <v>14</v>
      </c>
      <c r="B94" s="35" t="s">
        <v>82</v>
      </c>
      <c r="C94" s="36">
        <f t="shared" si="12"/>
        <v>46181</v>
      </c>
      <c r="D94" s="35" t="s">
        <v>27</v>
      </c>
      <c r="E94" s="37">
        <v>0</v>
      </c>
      <c r="F94" s="35" t="s">
        <v>48</v>
      </c>
      <c r="G94" s="35" t="s">
        <v>51</v>
      </c>
      <c r="H94" s="37">
        <v>0</v>
      </c>
      <c r="I94" s="38">
        <v>0</v>
      </c>
      <c r="J94" s="38" t="str">
        <f t="shared" si="13"/>
        <v/>
      </c>
      <c r="K94" s="35" t="s">
        <v>39</v>
      </c>
      <c r="L94" s="35" t="s">
        <v>43</v>
      </c>
      <c r="M94" s="39"/>
      <c r="N94" s="39"/>
      <c r="O94" s="40"/>
      <c r="P94" s="41"/>
      <c r="Q94" s="41"/>
      <c r="R94" s="42">
        <f t="shared" si="8"/>
        <v>1</v>
      </c>
      <c r="S94" s="43">
        <f t="shared" si="9"/>
        <v>0</v>
      </c>
      <c r="T94" s="43" t="str">
        <f t="shared" si="10"/>
        <v/>
      </c>
      <c r="U94" s="42" t="str">
        <f t="shared" si="11"/>
        <v/>
      </c>
      <c r="V94" s="45">
        <f>(SUM($O$2:O94)-SUM($I$2:I94))</f>
        <v>-55.240000000000009</v>
      </c>
    </row>
    <row r="95" spans="1:22" x14ac:dyDescent="0.2">
      <c r="A95" s="44">
        <v>14</v>
      </c>
      <c r="B95" s="35" t="s">
        <v>82</v>
      </c>
      <c r="C95" s="36">
        <f t="shared" si="12"/>
        <v>46182</v>
      </c>
      <c r="D95" s="35" t="s">
        <v>31</v>
      </c>
      <c r="E95" s="37">
        <v>60</v>
      </c>
      <c r="F95" s="35" t="s">
        <v>28</v>
      </c>
      <c r="G95" s="35" t="s">
        <v>71</v>
      </c>
      <c r="H95" s="37">
        <v>35</v>
      </c>
      <c r="I95" s="38">
        <v>1.8</v>
      </c>
      <c r="J95" s="38" t="str">
        <f t="shared" si="13"/>
        <v>19:27</v>
      </c>
      <c r="K95" s="35" t="s">
        <v>53</v>
      </c>
      <c r="L95" s="35"/>
      <c r="M95" s="39"/>
      <c r="N95" s="39"/>
      <c r="O95" s="40"/>
      <c r="P95" s="41"/>
      <c r="Q95" s="41"/>
      <c r="R95" s="42">
        <f t="shared" si="8"/>
        <v>0</v>
      </c>
      <c r="S95" s="43">
        <f t="shared" si="9"/>
        <v>95</v>
      </c>
      <c r="T95" s="43" t="str">
        <f t="shared" si="10"/>
        <v/>
      </c>
      <c r="U95" s="42" t="str">
        <f t="shared" si="11"/>
        <v/>
      </c>
      <c r="V95" s="45">
        <f>(SUM($O$2:O95)-SUM($I$2:I95))</f>
        <v>-57.040000000000006</v>
      </c>
    </row>
    <row r="96" spans="1:22" x14ac:dyDescent="0.2">
      <c r="A96" s="44">
        <v>14</v>
      </c>
      <c r="B96" s="35" t="s">
        <v>82</v>
      </c>
      <c r="C96" s="36">
        <f t="shared" si="12"/>
        <v>46183</v>
      </c>
      <c r="D96" s="35" t="s">
        <v>35</v>
      </c>
      <c r="E96" s="37">
        <v>30</v>
      </c>
      <c r="F96" s="35" t="s">
        <v>23</v>
      </c>
      <c r="G96" s="35" t="s">
        <v>72</v>
      </c>
      <c r="H96" s="37">
        <v>25</v>
      </c>
      <c r="I96" s="38"/>
      <c r="J96" s="38" t="str">
        <f t="shared" si="13"/>
        <v/>
      </c>
      <c r="K96" s="35" t="s">
        <v>55</v>
      </c>
      <c r="L96" s="35"/>
      <c r="M96" s="39"/>
      <c r="N96" s="39"/>
      <c r="O96" s="40"/>
      <c r="P96" s="41"/>
      <c r="Q96" s="41"/>
      <c r="R96" s="42">
        <f t="shared" si="8"/>
        <v>0</v>
      </c>
      <c r="S96" s="43">
        <f t="shared" si="9"/>
        <v>55</v>
      </c>
      <c r="T96" s="43" t="str">
        <f t="shared" si="10"/>
        <v/>
      </c>
      <c r="U96" s="42" t="str">
        <f t="shared" si="11"/>
        <v/>
      </c>
      <c r="V96" s="45">
        <f>(SUM($O$2:O96)-SUM($I$2:I96))</f>
        <v>-57.040000000000006</v>
      </c>
    </row>
    <row r="97" spans="1:22" x14ac:dyDescent="0.2">
      <c r="A97" s="44">
        <v>14</v>
      </c>
      <c r="B97" s="35" t="s">
        <v>82</v>
      </c>
      <c r="C97" s="36">
        <f t="shared" si="12"/>
        <v>46184</v>
      </c>
      <c r="D97" s="35" t="s">
        <v>37</v>
      </c>
      <c r="E97" s="37">
        <v>50</v>
      </c>
      <c r="F97" s="35" t="s">
        <v>28</v>
      </c>
      <c r="G97" s="35" t="s">
        <v>73</v>
      </c>
      <c r="H97" s="37">
        <v>40</v>
      </c>
      <c r="I97" s="38">
        <v>3.3</v>
      </c>
      <c r="J97" s="38" t="str">
        <f t="shared" si="13"/>
        <v>12:07</v>
      </c>
      <c r="K97" s="35" t="s">
        <v>30</v>
      </c>
      <c r="L97" s="35"/>
      <c r="M97" s="39"/>
      <c r="N97" s="39"/>
      <c r="O97" s="40"/>
      <c r="P97" s="41"/>
      <c r="Q97" s="41"/>
      <c r="R97" s="42">
        <f t="shared" si="8"/>
        <v>0</v>
      </c>
      <c r="S97" s="43">
        <f t="shared" si="9"/>
        <v>90</v>
      </c>
      <c r="T97" s="43" t="str">
        <f t="shared" si="10"/>
        <v/>
      </c>
      <c r="U97" s="42" t="str">
        <f t="shared" si="11"/>
        <v/>
      </c>
      <c r="V97" s="45">
        <f>(SUM($O$2:O97)-SUM($I$2:I97))</f>
        <v>-60.34</v>
      </c>
    </row>
    <row r="98" spans="1:22" x14ac:dyDescent="0.2">
      <c r="A98" s="44">
        <v>14</v>
      </c>
      <c r="B98" s="35" t="s">
        <v>82</v>
      </c>
      <c r="C98" s="36">
        <f t="shared" si="12"/>
        <v>46185</v>
      </c>
      <c r="D98" s="35" t="s">
        <v>40</v>
      </c>
      <c r="E98" s="37">
        <v>30</v>
      </c>
      <c r="F98" s="35" t="s">
        <v>32</v>
      </c>
      <c r="G98" s="35" t="s">
        <v>74</v>
      </c>
      <c r="H98" s="37">
        <v>20</v>
      </c>
      <c r="I98" s="38"/>
      <c r="J98" s="38" t="str">
        <f t="shared" si="13"/>
        <v/>
      </c>
      <c r="K98" s="35" t="s">
        <v>58</v>
      </c>
      <c r="L98" s="35"/>
      <c r="M98" s="39"/>
      <c r="N98" s="39"/>
      <c r="O98" s="40"/>
      <c r="P98" s="41"/>
      <c r="Q98" s="41"/>
      <c r="R98" s="42">
        <f t="shared" si="8"/>
        <v>0</v>
      </c>
      <c r="S98" s="43">
        <f t="shared" si="9"/>
        <v>50</v>
      </c>
      <c r="T98" s="43" t="str">
        <f t="shared" si="10"/>
        <v/>
      </c>
      <c r="U98" s="42" t="str">
        <f t="shared" si="11"/>
        <v/>
      </c>
      <c r="V98" s="45">
        <f>(SUM($O$2:O98)-SUM($I$2:I98))</f>
        <v>-60.34</v>
      </c>
    </row>
    <row r="99" spans="1:22" x14ac:dyDescent="0.2">
      <c r="A99" s="44">
        <v>14</v>
      </c>
      <c r="B99" s="35" t="s">
        <v>82</v>
      </c>
      <c r="C99" s="36">
        <f t="shared" si="12"/>
        <v>46186</v>
      </c>
      <c r="D99" s="35" t="s">
        <v>44</v>
      </c>
      <c r="E99" s="37">
        <v>20</v>
      </c>
      <c r="F99" s="35" t="s">
        <v>45</v>
      </c>
      <c r="G99" s="35" t="s">
        <v>75</v>
      </c>
      <c r="H99" s="37">
        <v>25</v>
      </c>
      <c r="I99" s="38">
        <v>1.2</v>
      </c>
      <c r="J99" s="38" t="str">
        <f t="shared" si="13"/>
        <v>20:50</v>
      </c>
      <c r="K99" s="35" t="s">
        <v>60</v>
      </c>
      <c r="L99" s="35"/>
      <c r="M99" s="39"/>
      <c r="N99" s="39"/>
      <c r="O99" s="40"/>
      <c r="P99" s="41"/>
      <c r="Q99" s="41"/>
      <c r="R99" s="42">
        <f t="shared" si="8"/>
        <v>0</v>
      </c>
      <c r="S99" s="43">
        <f t="shared" si="9"/>
        <v>45</v>
      </c>
      <c r="T99" s="43" t="str">
        <f t="shared" si="10"/>
        <v/>
      </c>
      <c r="U99" s="42" t="str">
        <f t="shared" si="11"/>
        <v/>
      </c>
      <c r="V99" s="45">
        <f>(SUM($O$2:O99)-SUM($I$2:I99))</f>
        <v>-61.540000000000006</v>
      </c>
    </row>
    <row r="100" spans="1:22" x14ac:dyDescent="0.2">
      <c r="A100" s="44">
        <v>15</v>
      </c>
      <c r="B100" s="35" t="s">
        <v>82</v>
      </c>
      <c r="C100" s="36">
        <f t="shared" si="12"/>
        <v>46187</v>
      </c>
      <c r="D100" s="35" t="s">
        <v>22</v>
      </c>
      <c r="E100" s="37">
        <v>60</v>
      </c>
      <c r="F100" s="35" t="s">
        <v>78</v>
      </c>
      <c r="G100" s="35" t="s">
        <v>83</v>
      </c>
      <c r="H100" s="37">
        <v>58</v>
      </c>
      <c r="I100" s="38">
        <v>4</v>
      </c>
      <c r="J100" s="38" t="str">
        <f t="shared" si="13"/>
        <v>14:30</v>
      </c>
      <c r="K100" s="35" t="s">
        <v>80</v>
      </c>
      <c r="L100" s="35"/>
      <c r="M100" s="39"/>
      <c r="N100" s="39"/>
      <c r="O100" s="40"/>
      <c r="P100" s="41"/>
      <c r="Q100" s="41"/>
      <c r="R100" s="42">
        <f t="shared" si="8"/>
        <v>0</v>
      </c>
      <c r="S100" s="43">
        <f t="shared" si="9"/>
        <v>118</v>
      </c>
      <c r="T100" s="43" t="str">
        <f t="shared" si="10"/>
        <v/>
      </c>
      <c r="U100" s="42" t="str">
        <f t="shared" si="11"/>
        <v/>
      </c>
      <c r="V100" s="45">
        <f>(SUM($O$2:O100)-SUM($I$2:I100))</f>
        <v>-65.540000000000006</v>
      </c>
    </row>
    <row r="101" spans="1:22" x14ac:dyDescent="0.2">
      <c r="A101" s="44">
        <v>15</v>
      </c>
      <c r="B101" s="35" t="s">
        <v>82</v>
      </c>
      <c r="C101" s="36">
        <f t="shared" si="12"/>
        <v>46188</v>
      </c>
      <c r="D101" s="35" t="s">
        <v>27</v>
      </c>
      <c r="E101" s="37">
        <v>0</v>
      </c>
      <c r="F101" s="35" t="s">
        <v>48</v>
      </c>
      <c r="G101" s="35" t="s">
        <v>51</v>
      </c>
      <c r="H101" s="37">
        <v>0</v>
      </c>
      <c r="I101" s="38">
        <v>0</v>
      </c>
      <c r="J101" s="38" t="str">
        <f t="shared" si="13"/>
        <v/>
      </c>
      <c r="K101" s="35" t="s">
        <v>39</v>
      </c>
      <c r="L101" s="35" t="s">
        <v>43</v>
      </c>
      <c r="M101" s="39"/>
      <c r="N101" s="39"/>
      <c r="O101" s="40"/>
      <c r="P101" s="41"/>
      <c r="Q101" s="41"/>
      <c r="R101" s="42">
        <f t="shared" si="8"/>
        <v>1</v>
      </c>
      <c r="S101" s="43">
        <f t="shared" si="9"/>
        <v>0</v>
      </c>
      <c r="T101" s="43" t="str">
        <f t="shared" si="10"/>
        <v/>
      </c>
      <c r="U101" s="42" t="str">
        <f t="shared" si="11"/>
        <v/>
      </c>
      <c r="V101" s="45">
        <f>(SUM($O$2:O101)-SUM($I$2:I101))</f>
        <v>-65.540000000000006</v>
      </c>
    </row>
    <row r="102" spans="1:22" x14ac:dyDescent="0.2">
      <c r="A102" s="44">
        <v>15</v>
      </c>
      <c r="B102" s="35" t="s">
        <v>82</v>
      </c>
      <c r="C102" s="36">
        <f t="shared" si="12"/>
        <v>46189</v>
      </c>
      <c r="D102" s="35" t="s">
        <v>31</v>
      </c>
      <c r="E102" s="37">
        <v>30</v>
      </c>
      <c r="F102" s="35" t="s">
        <v>28</v>
      </c>
      <c r="G102" s="35" t="s">
        <v>52</v>
      </c>
      <c r="H102" s="37">
        <v>30</v>
      </c>
      <c r="I102" s="38">
        <v>1.5</v>
      </c>
      <c r="J102" s="38" t="str">
        <f t="shared" si="13"/>
        <v>20:00</v>
      </c>
      <c r="K102" s="35" t="s">
        <v>53</v>
      </c>
      <c r="L102" s="35"/>
      <c r="M102" s="39"/>
      <c r="N102" s="39"/>
      <c r="O102" s="40"/>
      <c r="P102" s="41"/>
      <c r="Q102" s="41"/>
      <c r="R102" s="42">
        <f t="shared" si="8"/>
        <v>0</v>
      </c>
      <c r="S102" s="43">
        <f t="shared" si="9"/>
        <v>60</v>
      </c>
      <c r="T102" s="43" t="str">
        <f t="shared" si="10"/>
        <v/>
      </c>
      <c r="U102" s="42" t="str">
        <f t="shared" si="11"/>
        <v/>
      </c>
      <c r="V102" s="45">
        <f>(SUM($O$2:O102)-SUM($I$2:I102))</f>
        <v>-67.040000000000006</v>
      </c>
    </row>
    <row r="103" spans="1:22" x14ac:dyDescent="0.2">
      <c r="A103" s="44">
        <v>15</v>
      </c>
      <c r="B103" s="35" t="s">
        <v>82</v>
      </c>
      <c r="C103" s="36">
        <f t="shared" si="12"/>
        <v>46190</v>
      </c>
      <c r="D103" s="35" t="s">
        <v>35</v>
      </c>
      <c r="E103" s="37">
        <v>40</v>
      </c>
      <c r="F103" s="35" t="s">
        <v>32</v>
      </c>
      <c r="G103" s="35" t="s">
        <v>54</v>
      </c>
      <c r="H103" s="37">
        <v>25</v>
      </c>
      <c r="I103" s="38"/>
      <c r="J103" s="38" t="str">
        <f t="shared" si="13"/>
        <v/>
      </c>
      <c r="K103" s="35" t="s">
        <v>55</v>
      </c>
      <c r="L103" s="35"/>
      <c r="M103" s="39"/>
      <c r="N103" s="39"/>
      <c r="O103" s="40"/>
      <c r="P103" s="41"/>
      <c r="Q103" s="41"/>
      <c r="R103" s="42">
        <f t="shared" si="8"/>
        <v>0</v>
      </c>
      <c r="S103" s="43">
        <f t="shared" si="9"/>
        <v>65</v>
      </c>
      <c r="T103" s="43" t="str">
        <f t="shared" si="10"/>
        <v/>
      </c>
      <c r="U103" s="42" t="str">
        <f t="shared" si="11"/>
        <v/>
      </c>
      <c r="V103" s="45">
        <f>(SUM($O$2:O103)-SUM($I$2:I103))</f>
        <v>-67.040000000000006</v>
      </c>
    </row>
    <row r="104" spans="1:22" x14ac:dyDescent="0.2">
      <c r="A104" s="44">
        <v>15</v>
      </c>
      <c r="B104" s="35" t="s">
        <v>82</v>
      </c>
      <c r="C104" s="36">
        <f t="shared" si="12"/>
        <v>46191</v>
      </c>
      <c r="D104" s="35" t="s">
        <v>37</v>
      </c>
      <c r="E104" s="37">
        <v>40</v>
      </c>
      <c r="F104" s="35" t="s">
        <v>28</v>
      </c>
      <c r="G104" s="35" t="s">
        <v>56</v>
      </c>
      <c r="H104" s="37">
        <v>42</v>
      </c>
      <c r="I104" s="38">
        <v>3.6</v>
      </c>
      <c r="J104" s="38" t="str">
        <f t="shared" si="13"/>
        <v>11:40</v>
      </c>
      <c r="K104" s="35" t="s">
        <v>30</v>
      </c>
      <c r="L104" s="35"/>
      <c r="M104" s="39"/>
      <c r="N104" s="39"/>
      <c r="O104" s="40"/>
      <c r="P104" s="41"/>
      <c r="Q104" s="41"/>
      <c r="R104" s="42">
        <f t="shared" si="8"/>
        <v>0</v>
      </c>
      <c r="S104" s="43">
        <f t="shared" si="9"/>
        <v>82</v>
      </c>
      <c r="T104" s="43" t="str">
        <f t="shared" si="10"/>
        <v/>
      </c>
      <c r="U104" s="42" t="str">
        <f t="shared" si="11"/>
        <v/>
      </c>
      <c r="V104" s="45">
        <f>(SUM($O$2:O104)-SUM($I$2:I104))</f>
        <v>-70.64</v>
      </c>
    </row>
    <row r="105" spans="1:22" x14ac:dyDescent="0.2">
      <c r="A105" s="44">
        <v>15</v>
      </c>
      <c r="B105" s="35" t="s">
        <v>82</v>
      </c>
      <c r="C105" s="36">
        <f t="shared" si="12"/>
        <v>46192</v>
      </c>
      <c r="D105" s="35" t="s">
        <v>40</v>
      </c>
      <c r="E105" s="37">
        <v>50</v>
      </c>
      <c r="F105" s="35" t="s">
        <v>23</v>
      </c>
      <c r="G105" s="35" t="s">
        <v>57</v>
      </c>
      <c r="H105" s="37">
        <v>20</v>
      </c>
      <c r="I105" s="38"/>
      <c r="J105" s="38" t="str">
        <f t="shared" si="13"/>
        <v/>
      </c>
      <c r="K105" s="35" t="s">
        <v>58</v>
      </c>
      <c r="L105" s="35"/>
      <c r="M105" s="39"/>
      <c r="N105" s="39"/>
      <c r="O105" s="40"/>
      <c r="P105" s="41"/>
      <c r="Q105" s="41"/>
      <c r="R105" s="42">
        <f t="shared" si="8"/>
        <v>0</v>
      </c>
      <c r="S105" s="43">
        <f t="shared" si="9"/>
        <v>70</v>
      </c>
      <c r="T105" s="43" t="str">
        <f t="shared" si="10"/>
        <v/>
      </c>
      <c r="U105" s="42" t="str">
        <f t="shared" si="11"/>
        <v/>
      </c>
      <c r="V105" s="45">
        <f>(SUM($O$2:O105)-SUM($I$2:I105))</f>
        <v>-70.64</v>
      </c>
    </row>
    <row r="106" spans="1:22" x14ac:dyDescent="0.2">
      <c r="A106" s="44">
        <v>15</v>
      </c>
      <c r="B106" s="35" t="s">
        <v>82</v>
      </c>
      <c r="C106" s="36">
        <f t="shared" si="12"/>
        <v>46193</v>
      </c>
      <c r="D106" s="35" t="s">
        <v>44</v>
      </c>
      <c r="E106" s="37">
        <v>15</v>
      </c>
      <c r="F106" s="35" t="s">
        <v>45</v>
      </c>
      <c r="G106" s="35" t="s">
        <v>59</v>
      </c>
      <c r="H106" s="37">
        <v>25</v>
      </c>
      <c r="I106" s="38">
        <v>1.2</v>
      </c>
      <c r="J106" s="38" t="str">
        <f t="shared" si="13"/>
        <v>20:50</v>
      </c>
      <c r="K106" s="35" t="s">
        <v>60</v>
      </c>
      <c r="L106" s="35"/>
      <c r="M106" s="39"/>
      <c r="N106" s="39"/>
      <c r="O106" s="40"/>
      <c r="P106" s="41"/>
      <c r="Q106" s="41"/>
      <c r="R106" s="42">
        <f t="shared" si="8"/>
        <v>0</v>
      </c>
      <c r="S106" s="43">
        <f t="shared" si="9"/>
        <v>40</v>
      </c>
      <c r="T106" s="43" t="str">
        <f t="shared" si="10"/>
        <v/>
      </c>
      <c r="U106" s="42" t="str">
        <f t="shared" si="11"/>
        <v/>
      </c>
      <c r="V106" s="45">
        <f>(SUM($O$2:O106)-SUM($I$2:I106))</f>
        <v>-71.84</v>
      </c>
    </row>
    <row r="107" spans="1:22" x14ac:dyDescent="0.2">
      <c r="A107" s="44">
        <v>16</v>
      </c>
      <c r="B107" s="35" t="s">
        <v>82</v>
      </c>
      <c r="C107" s="36">
        <f t="shared" si="12"/>
        <v>46194</v>
      </c>
      <c r="D107" s="35" t="s">
        <v>22</v>
      </c>
      <c r="E107" s="37">
        <v>50</v>
      </c>
      <c r="F107" s="35" t="s">
        <v>78</v>
      </c>
      <c r="G107" s="35" t="s">
        <v>83</v>
      </c>
      <c r="H107" s="37">
        <v>58</v>
      </c>
      <c r="I107" s="38">
        <v>4</v>
      </c>
      <c r="J107" s="38" t="str">
        <f t="shared" si="13"/>
        <v>14:30</v>
      </c>
      <c r="K107" s="35" t="s">
        <v>80</v>
      </c>
      <c r="L107" s="35"/>
      <c r="M107" s="39"/>
      <c r="N107" s="39"/>
      <c r="O107" s="40"/>
      <c r="P107" s="41"/>
      <c r="Q107" s="41"/>
      <c r="R107" s="42">
        <f t="shared" si="8"/>
        <v>0</v>
      </c>
      <c r="S107" s="43">
        <f t="shared" si="9"/>
        <v>108</v>
      </c>
      <c r="T107" s="43" t="str">
        <f t="shared" si="10"/>
        <v/>
      </c>
      <c r="U107" s="42" t="str">
        <f t="shared" si="11"/>
        <v/>
      </c>
      <c r="V107" s="45">
        <f>(SUM($O$2:O107)-SUM($I$2:I107))</f>
        <v>-75.84</v>
      </c>
    </row>
    <row r="108" spans="1:22" x14ac:dyDescent="0.2">
      <c r="A108" s="44">
        <v>16</v>
      </c>
      <c r="B108" s="35" t="s">
        <v>82</v>
      </c>
      <c r="C108" s="36">
        <f t="shared" si="12"/>
        <v>46195</v>
      </c>
      <c r="D108" s="35" t="s">
        <v>27</v>
      </c>
      <c r="E108" s="37">
        <v>0</v>
      </c>
      <c r="F108" s="35" t="s">
        <v>48</v>
      </c>
      <c r="G108" s="35" t="s">
        <v>51</v>
      </c>
      <c r="H108" s="37">
        <v>0</v>
      </c>
      <c r="I108" s="38">
        <v>0</v>
      </c>
      <c r="J108" s="38" t="str">
        <f t="shared" si="13"/>
        <v/>
      </c>
      <c r="K108" s="35" t="s">
        <v>39</v>
      </c>
      <c r="L108" s="35" t="s">
        <v>43</v>
      </c>
      <c r="M108" s="39"/>
      <c r="N108" s="39"/>
      <c r="O108" s="40"/>
      <c r="P108" s="41"/>
      <c r="Q108" s="41"/>
      <c r="R108" s="42">
        <f t="shared" si="8"/>
        <v>1</v>
      </c>
      <c r="S108" s="43">
        <f t="shared" si="9"/>
        <v>0</v>
      </c>
      <c r="T108" s="43" t="str">
        <f t="shared" si="10"/>
        <v/>
      </c>
      <c r="U108" s="42" t="str">
        <f t="shared" si="11"/>
        <v/>
      </c>
      <c r="V108" s="45">
        <f>(SUM($O$2:O108)-SUM($I$2:I108))</f>
        <v>-75.84</v>
      </c>
    </row>
    <row r="109" spans="1:22" x14ac:dyDescent="0.2">
      <c r="A109" s="44">
        <v>16</v>
      </c>
      <c r="B109" s="35" t="s">
        <v>82</v>
      </c>
      <c r="C109" s="36">
        <f t="shared" si="12"/>
        <v>46196</v>
      </c>
      <c r="D109" s="35" t="s">
        <v>31</v>
      </c>
      <c r="E109" s="37">
        <v>40</v>
      </c>
      <c r="F109" s="35" t="s">
        <v>23</v>
      </c>
      <c r="G109" s="35" t="s">
        <v>61</v>
      </c>
      <c r="H109" s="37">
        <v>30</v>
      </c>
      <c r="I109" s="38"/>
      <c r="J109" s="38" t="str">
        <f t="shared" si="13"/>
        <v/>
      </c>
      <c r="K109" s="35" t="s">
        <v>53</v>
      </c>
      <c r="L109" s="35"/>
      <c r="M109" s="39"/>
      <c r="N109" s="39"/>
      <c r="O109" s="40"/>
      <c r="P109" s="41"/>
      <c r="Q109" s="41"/>
      <c r="R109" s="42">
        <f t="shared" si="8"/>
        <v>0</v>
      </c>
      <c r="S109" s="43">
        <f t="shared" si="9"/>
        <v>70</v>
      </c>
      <c r="T109" s="43" t="str">
        <f t="shared" si="10"/>
        <v/>
      </c>
      <c r="U109" s="42" t="str">
        <f t="shared" si="11"/>
        <v/>
      </c>
      <c r="V109" s="45">
        <f>(SUM($O$2:O109)-SUM($I$2:I109))</f>
        <v>-75.84</v>
      </c>
    </row>
    <row r="110" spans="1:22" x14ac:dyDescent="0.2">
      <c r="A110" s="44">
        <v>16</v>
      </c>
      <c r="B110" s="35" t="s">
        <v>82</v>
      </c>
      <c r="C110" s="36">
        <f t="shared" si="12"/>
        <v>46197</v>
      </c>
      <c r="D110" s="35" t="s">
        <v>35</v>
      </c>
      <c r="E110" s="37">
        <v>50</v>
      </c>
      <c r="F110" s="35" t="s">
        <v>23</v>
      </c>
      <c r="G110" s="35" t="s">
        <v>24</v>
      </c>
      <c r="H110" s="37">
        <v>30</v>
      </c>
      <c r="I110" s="38"/>
      <c r="J110" s="38" t="str">
        <f t="shared" si="13"/>
        <v/>
      </c>
      <c r="K110" s="35" t="s">
        <v>55</v>
      </c>
      <c r="L110" s="35"/>
      <c r="M110" s="39"/>
      <c r="N110" s="39"/>
      <c r="O110" s="40"/>
      <c r="P110" s="41"/>
      <c r="Q110" s="41"/>
      <c r="R110" s="42">
        <f t="shared" si="8"/>
        <v>0</v>
      </c>
      <c r="S110" s="43">
        <f t="shared" si="9"/>
        <v>80</v>
      </c>
      <c r="T110" s="43" t="str">
        <f t="shared" si="10"/>
        <v/>
      </c>
      <c r="U110" s="42" t="str">
        <f t="shared" si="11"/>
        <v/>
      </c>
      <c r="V110" s="45">
        <f>(SUM($O$2:O110)-SUM($I$2:I110))</f>
        <v>-75.84</v>
      </c>
    </row>
    <row r="111" spans="1:22" x14ac:dyDescent="0.2">
      <c r="A111" s="44">
        <v>16</v>
      </c>
      <c r="B111" s="35" t="s">
        <v>82</v>
      </c>
      <c r="C111" s="36">
        <f t="shared" si="12"/>
        <v>46198</v>
      </c>
      <c r="D111" s="35" t="s">
        <v>37</v>
      </c>
      <c r="E111" s="37">
        <v>30</v>
      </c>
      <c r="F111" s="35" t="s">
        <v>28</v>
      </c>
      <c r="G111" s="35" t="s">
        <v>62</v>
      </c>
      <c r="H111" s="37">
        <v>50</v>
      </c>
      <c r="I111" s="38">
        <v>3.8</v>
      </c>
      <c r="J111" s="38" t="str">
        <f t="shared" si="13"/>
        <v>13:09</v>
      </c>
      <c r="K111" s="35" t="s">
        <v>30</v>
      </c>
      <c r="L111" s="35"/>
      <c r="M111" s="39"/>
      <c r="N111" s="39"/>
      <c r="O111" s="40"/>
      <c r="P111" s="41"/>
      <c r="Q111" s="41"/>
      <c r="R111" s="42">
        <f t="shared" si="8"/>
        <v>0</v>
      </c>
      <c r="S111" s="43">
        <f t="shared" si="9"/>
        <v>80</v>
      </c>
      <c r="T111" s="43" t="str">
        <f t="shared" si="10"/>
        <v/>
      </c>
      <c r="U111" s="42" t="str">
        <f t="shared" si="11"/>
        <v/>
      </c>
      <c r="V111" s="45">
        <f>(SUM($O$2:O111)-SUM($I$2:I111))</f>
        <v>-79.64</v>
      </c>
    </row>
    <row r="112" spans="1:22" x14ac:dyDescent="0.2">
      <c r="A112" s="44">
        <v>16</v>
      </c>
      <c r="B112" s="35" t="s">
        <v>82</v>
      </c>
      <c r="C112" s="36">
        <f t="shared" si="12"/>
        <v>46199</v>
      </c>
      <c r="D112" s="35" t="s">
        <v>40</v>
      </c>
      <c r="E112" s="37">
        <v>60</v>
      </c>
      <c r="F112" s="35" t="s">
        <v>32</v>
      </c>
      <c r="G112" s="35" t="s">
        <v>63</v>
      </c>
      <c r="H112" s="37">
        <v>20</v>
      </c>
      <c r="I112" s="38"/>
      <c r="J112" s="38" t="str">
        <f t="shared" si="13"/>
        <v/>
      </c>
      <c r="K112" s="35" t="s">
        <v>58</v>
      </c>
      <c r="L112" s="35"/>
      <c r="M112" s="39"/>
      <c r="N112" s="39"/>
      <c r="O112" s="40"/>
      <c r="P112" s="41"/>
      <c r="Q112" s="41"/>
      <c r="R112" s="42">
        <f t="shared" si="8"/>
        <v>0</v>
      </c>
      <c r="S112" s="43">
        <f t="shared" si="9"/>
        <v>80</v>
      </c>
      <c r="T112" s="43" t="str">
        <f t="shared" si="10"/>
        <v/>
      </c>
      <c r="U112" s="42" t="str">
        <f t="shared" si="11"/>
        <v/>
      </c>
      <c r="V112" s="45">
        <f>(SUM($O$2:O112)-SUM($I$2:I112))</f>
        <v>-79.64</v>
      </c>
    </row>
    <row r="113" spans="1:22" x14ac:dyDescent="0.2">
      <c r="A113" s="44">
        <v>16</v>
      </c>
      <c r="B113" s="35" t="s">
        <v>82</v>
      </c>
      <c r="C113" s="36">
        <f t="shared" si="12"/>
        <v>46200</v>
      </c>
      <c r="D113" s="35" t="s">
        <v>44</v>
      </c>
      <c r="E113" s="37">
        <v>20</v>
      </c>
      <c r="F113" s="35" t="s">
        <v>45</v>
      </c>
      <c r="G113" s="35" t="s">
        <v>64</v>
      </c>
      <c r="H113" s="37">
        <v>25</v>
      </c>
      <c r="I113" s="38">
        <v>1.2</v>
      </c>
      <c r="J113" s="38" t="str">
        <f t="shared" si="13"/>
        <v>20:50</v>
      </c>
      <c r="K113" s="35" t="s">
        <v>60</v>
      </c>
      <c r="L113" s="35"/>
      <c r="M113" s="39"/>
      <c r="N113" s="39"/>
      <c r="O113" s="40"/>
      <c r="P113" s="41"/>
      <c r="Q113" s="41"/>
      <c r="R113" s="42">
        <f t="shared" si="8"/>
        <v>0</v>
      </c>
      <c r="S113" s="43">
        <f t="shared" si="9"/>
        <v>45</v>
      </c>
      <c r="T113" s="43" t="str">
        <f t="shared" si="10"/>
        <v/>
      </c>
      <c r="U113" s="42" t="str">
        <f t="shared" si="11"/>
        <v/>
      </c>
      <c r="V113" s="45">
        <f>(SUM($O$2:O113)-SUM($I$2:I113))</f>
        <v>-80.84</v>
      </c>
    </row>
    <row r="114" spans="1:22" x14ac:dyDescent="0.2">
      <c r="A114" s="44">
        <v>17</v>
      </c>
      <c r="B114" s="35" t="s">
        <v>82</v>
      </c>
      <c r="C114" s="36">
        <f t="shared" si="12"/>
        <v>46201</v>
      </c>
      <c r="D114" s="35" t="s">
        <v>22</v>
      </c>
      <c r="E114" s="37">
        <v>40</v>
      </c>
      <c r="F114" s="35" t="s">
        <v>78</v>
      </c>
      <c r="G114" s="35" t="s">
        <v>83</v>
      </c>
      <c r="H114" s="37">
        <v>57</v>
      </c>
      <c r="I114" s="38">
        <v>4</v>
      </c>
      <c r="J114" s="38" t="str">
        <f t="shared" si="13"/>
        <v>14:15</v>
      </c>
      <c r="K114" s="35" t="s">
        <v>80</v>
      </c>
      <c r="L114" s="35"/>
      <c r="M114" s="39"/>
      <c r="N114" s="39"/>
      <c r="O114" s="40"/>
      <c r="P114" s="41"/>
      <c r="Q114" s="41"/>
      <c r="R114" s="42">
        <f t="shared" si="8"/>
        <v>0</v>
      </c>
      <c r="S114" s="43">
        <f t="shared" si="9"/>
        <v>97</v>
      </c>
      <c r="T114" s="43" t="str">
        <f t="shared" si="10"/>
        <v/>
      </c>
      <c r="U114" s="42" t="str">
        <f t="shared" si="11"/>
        <v/>
      </c>
      <c r="V114" s="45">
        <f>(SUM($O$2:O114)-SUM($I$2:I114))</f>
        <v>-84.84</v>
      </c>
    </row>
    <row r="115" spans="1:22" x14ac:dyDescent="0.2">
      <c r="A115" s="44">
        <v>17</v>
      </c>
      <c r="B115" s="35" t="s">
        <v>82</v>
      </c>
      <c r="C115" s="36">
        <f t="shared" si="12"/>
        <v>46202</v>
      </c>
      <c r="D115" s="35" t="s">
        <v>27</v>
      </c>
      <c r="E115" s="37">
        <v>0</v>
      </c>
      <c r="F115" s="35" t="s">
        <v>48</v>
      </c>
      <c r="G115" s="35" t="s">
        <v>51</v>
      </c>
      <c r="H115" s="37">
        <v>0</v>
      </c>
      <c r="I115" s="38">
        <v>0</v>
      </c>
      <c r="J115" s="38" t="str">
        <f t="shared" si="13"/>
        <v/>
      </c>
      <c r="K115" s="35" t="s">
        <v>39</v>
      </c>
      <c r="L115" s="35" t="s">
        <v>43</v>
      </c>
      <c r="M115" s="39"/>
      <c r="N115" s="39"/>
      <c r="O115" s="40"/>
      <c r="P115" s="41"/>
      <c r="Q115" s="41"/>
      <c r="R115" s="42">
        <f t="shared" si="8"/>
        <v>1</v>
      </c>
      <c r="S115" s="43">
        <f t="shared" si="9"/>
        <v>0</v>
      </c>
      <c r="T115" s="43" t="str">
        <f t="shared" si="10"/>
        <v/>
      </c>
      <c r="U115" s="42" t="str">
        <f t="shared" si="11"/>
        <v/>
      </c>
      <c r="V115" s="45">
        <f>(SUM($O$2:O115)-SUM($I$2:I115))</f>
        <v>-84.84</v>
      </c>
    </row>
    <row r="116" spans="1:22" x14ac:dyDescent="0.2">
      <c r="A116" s="44">
        <v>17</v>
      </c>
      <c r="B116" s="35" t="s">
        <v>82</v>
      </c>
      <c r="C116" s="36">
        <f t="shared" si="12"/>
        <v>46203</v>
      </c>
      <c r="D116" s="35" t="s">
        <v>31</v>
      </c>
      <c r="E116" s="37">
        <v>50</v>
      </c>
      <c r="F116" s="35" t="s">
        <v>32</v>
      </c>
      <c r="G116" s="35" t="s">
        <v>66</v>
      </c>
      <c r="H116" s="37">
        <v>25</v>
      </c>
      <c r="I116" s="38"/>
      <c r="J116" s="38" t="str">
        <f t="shared" si="13"/>
        <v/>
      </c>
      <c r="K116" s="35" t="s">
        <v>53</v>
      </c>
      <c r="L116" s="35"/>
      <c r="M116" s="39"/>
      <c r="N116" s="39"/>
      <c r="O116" s="40"/>
      <c r="P116" s="41"/>
      <c r="Q116" s="41"/>
      <c r="R116" s="42">
        <f t="shared" si="8"/>
        <v>0</v>
      </c>
      <c r="S116" s="43">
        <f t="shared" si="9"/>
        <v>75</v>
      </c>
      <c r="T116" s="43" t="str">
        <f t="shared" si="10"/>
        <v/>
      </c>
      <c r="U116" s="42" t="str">
        <f t="shared" si="11"/>
        <v/>
      </c>
      <c r="V116" s="45">
        <f>(SUM($O$2:O116)-SUM($I$2:I116))</f>
        <v>-84.84</v>
      </c>
    </row>
    <row r="117" spans="1:22" x14ac:dyDescent="0.2">
      <c r="A117" s="44">
        <v>17</v>
      </c>
      <c r="B117" s="35" t="s">
        <v>82</v>
      </c>
      <c r="C117" s="36">
        <f t="shared" si="12"/>
        <v>46204</v>
      </c>
      <c r="D117" s="35" t="s">
        <v>35</v>
      </c>
      <c r="E117" s="37">
        <v>60</v>
      </c>
      <c r="F117" s="35" t="s">
        <v>32</v>
      </c>
      <c r="G117" s="35" t="s">
        <v>67</v>
      </c>
      <c r="H117" s="37">
        <v>30</v>
      </c>
      <c r="I117" s="38"/>
      <c r="J117" s="38" t="str">
        <f t="shared" si="13"/>
        <v/>
      </c>
      <c r="K117" s="35" t="s">
        <v>55</v>
      </c>
      <c r="L117" s="35"/>
      <c r="M117" s="39"/>
      <c r="N117" s="39"/>
      <c r="O117" s="40"/>
      <c r="P117" s="41"/>
      <c r="Q117" s="41"/>
      <c r="R117" s="42">
        <f t="shared" si="8"/>
        <v>0</v>
      </c>
      <c r="S117" s="43">
        <f t="shared" si="9"/>
        <v>90</v>
      </c>
      <c r="T117" s="43" t="str">
        <f t="shared" si="10"/>
        <v/>
      </c>
      <c r="U117" s="42" t="str">
        <f t="shared" si="11"/>
        <v/>
      </c>
      <c r="V117" s="45">
        <f>(SUM($O$2:O117)-SUM($I$2:I117))</f>
        <v>-84.84</v>
      </c>
    </row>
    <row r="118" spans="1:22" x14ac:dyDescent="0.2">
      <c r="A118" s="44">
        <v>17</v>
      </c>
      <c r="B118" s="35" t="s">
        <v>82</v>
      </c>
      <c r="C118" s="36">
        <f t="shared" si="12"/>
        <v>46205</v>
      </c>
      <c r="D118" s="35" t="s">
        <v>37</v>
      </c>
      <c r="E118" s="37">
        <v>60</v>
      </c>
      <c r="F118" s="35" t="s">
        <v>28</v>
      </c>
      <c r="G118" s="35" t="s">
        <v>68</v>
      </c>
      <c r="H118" s="37">
        <v>50</v>
      </c>
      <c r="I118" s="38">
        <v>4</v>
      </c>
      <c r="J118" s="38" t="str">
        <f t="shared" si="13"/>
        <v>12:30</v>
      </c>
      <c r="K118" s="35" t="s">
        <v>30</v>
      </c>
      <c r="L118" s="35"/>
      <c r="M118" s="39"/>
      <c r="N118" s="39"/>
      <c r="O118" s="40"/>
      <c r="P118" s="41"/>
      <c r="Q118" s="41"/>
      <c r="R118" s="42">
        <f t="shared" si="8"/>
        <v>0</v>
      </c>
      <c r="S118" s="43">
        <f t="shared" si="9"/>
        <v>110</v>
      </c>
      <c r="T118" s="43" t="str">
        <f t="shared" si="10"/>
        <v/>
      </c>
      <c r="U118" s="42" t="str">
        <f t="shared" si="11"/>
        <v/>
      </c>
      <c r="V118" s="45">
        <f>(SUM($O$2:O118)-SUM($I$2:I118))</f>
        <v>-88.84</v>
      </c>
    </row>
    <row r="119" spans="1:22" x14ac:dyDescent="0.2">
      <c r="A119" s="44">
        <v>17</v>
      </c>
      <c r="B119" s="35" t="s">
        <v>82</v>
      </c>
      <c r="C119" s="36">
        <f t="shared" si="12"/>
        <v>46206</v>
      </c>
      <c r="D119" s="35" t="s">
        <v>40</v>
      </c>
      <c r="E119" s="37">
        <v>40</v>
      </c>
      <c r="F119" s="35" t="s">
        <v>23</v>
      </c>
      <c r="G119" s="35" t="s">
        <v>69</v>
      </c>
      <c r="H119" s="37">
        <v>25</v>
      </c>
      <c r="I119" s="38"/>
      <c r="J119" s="38" t="str">
        <f t="shared" si="13"/>
        <v/>
      </c>
      <c r="K119" s="35" t="s">
        <v>58</v>
      </c>
      <c r="L119" s="35"/>
      <c r="M119" s="39"/>
      <c r="N119" s="39"/>
      <c r="O119" s="40"/>
      <c r="P119" s="41"/>
      <c r="Q119" s="41"/>
      <c r="R119" s="42">
        <f t="shared" si="8"/>
        <v>0</v>
      </c>
      <c r="S119" s="43">
        <f t="shared" si="9"/>
        <v>65</v>
      </c>
      <c r="T119" s="43" t="str">
        <f t="shared" si="10"/>
        <v/>
      </c>
      <c r="U119" s="42" t="str">
        <f t="shared" si="11"/>
        <v/>
      </c>
      <c r="V119" s="45">
        <f>(SUM($O$2:O119)-SUM($I$2:I119))</f>
        <v>-88.84</v>
      </c>
    </row>
    <row r="120" spans="1:22" x14ac:dyDescent="0.2">
      <c r="A120" s="44">
        <v>17</v>
      </c>
      <c r="B120" s="35" t="s">
        <v>82</v>
      </c>
      <c r="C120" s="36">
        <f t="shared" si="12"/>
        <v>46207</v>
      </c>
      <c r="D120" s="35" t="s">
        <v>44</v>
      </c>
      <c r="E120" s="37">
        <v>15</v>
      </c>
      <c r="F120" s="35" t="s">
        <v>28</v>
      </c>
      <c r="G120" s="35" t="s">
        <v>70</v>
      </c>
      <c r="H120" s="37">
        <v>25</v>
      </c>
      <c r="I120" s="38">
        <v>1.2</v>
      </c>
      <c r="J120" s="38" t="str">
        <f t="shared" si="13"/>
        <v>20:50</v>
      </c>
      <c r="K120" s="35" t="s">
        <v>60</v>
      </c>
      <c r="L120" s="35"/>
      <c r="M120" s="39"/>
      <c r="N120" s="39"/>
      <c r="O120" s="40"/>
      <c r="P120" s="41"/>
      <c r="Q120" s="41"/>
      <c r="R120" s="42">
        <f t="shared" si="8"/>
        <v>0</v>
      </c>
      <c r="S120" s="43">
        <f t="shared" si="9"/>
        <v>40</v>
      </c>
      <c r="T120" s="43" t="str">
        <f t="shared" si="10"/>
        <v/>
      </c>
      <c r="U120" s="42" t="str">
        <f t="shared" si="11"/>
        <v/>
      </c>
      <c r="V120" s="45">
        <f>(SUM($O$2:O120)-SUM($I$2:I120))</f>
        <v>-90.039999999999992</v>
      </c>
    </row>
    <row r="121" spans="1:22" x14ac:dyDescent="0.2">
      <c r="A121" s="44">
        <v>18</v>
      </c>
      <c r="B121" s="35" t="s">
        <v>82</v>
      </c>
      <c r="C121" s="36">
        <f t="shared" si="12"/>
        <v>46208</v>
      </c>
      <c r="D121" s="35" t="s">
        <v>22</v>
      </c>
      <c r="E121" s="37">
        <v>30</v>
      </c>
      <c r="F121" s="35" t="s">
        <v>78</v>
      </c>
      <c r="G121" s="35" t="s">
        <v>84</v>
      </c>
      <c r="H121" s="37">
        <v>71</v>
      </c>
      <c r="I121" s="38">
        <v>5</v>
      </c>
      <c r="J121" s="38" t="str">
        <f t="shared" si="13"/>
        <v>14:12</v>
      </c>
      <c r="K121" s="35" t="s">
        <v>80</v>
      </c>
      <c r="L121" s="35"/>
      <c r="M121" s="39"/>
      <c r="N121" s="39"/>
      <c r="O121" s="40"/>
      <c r="P121" s="41"/>
      <c r="Q121" s="41"/>
      <c r="R121" s="42">
        <f t="shared" si="8"/>
        <v>0</v>
      </c>
      <c r="S121" s="43">
        <f t="shared" si="9"/>
        <v>101</v>
      </c>
      <c r="T121" s="43" t="str">
        <f t="shared" si="10"/>
        <v/>
      </c>
      <c r="U121" s="42" t="str">
        <f t="shared" si="11"/>
        <v/>
      </c>
      <c r="V121" s="45">
        <f>(SUM($O$2:O121)-SUM($I$2:I121))</f>
        <v>-95.039999999999992</v>
      </c>
    </row>
    <row r="122" spans="1:22" x14ac:dyDescent="0.2">
      <c r="A122" s="44">
        <v>18</v>
      </c>
      <c r="B122" s="35" t="s">
        <v>82</v>
      </c>
      <c r="C122" s="36">
        <f t="shared" si="12"/>
        <v>46209</v>
      </c>
      <c r="D122" s="35" t="s">
        <v>27</v>
      </c>
      <c r="E122" s="37">
        <v>0</v>
      </c>
      <c r="F122" s="35" t="s">
        <v>48</v>
      </c>
      <c r="G122" s="35" t="s">
        <v>51</v>
      </c>
      <c r="H122" s="37">
        <v>0</v>
      </c>
      <c r="I122" s="38">
        <v>0</v>
      </c>
      <c r="J122" s="38" t="str">
        <f t="shared" si="13"/>
        <v/>
      </c>
      <c r="K122" s="35" t="s">
        <v>39</v>
      </c>
      <c r="L122" s="35" t="s">
        <v>43</v>
      </c>
      <c r="M122" s="39"/>
      <c r="N122" s="39"/>
      <c r="O122" s="40"/>
      <c r="P122" s="41"/>
      <c r="Q122" s="41"/>
      <c r="R122" s="42">
        <f t="shared" si="8"/>
        <v>1</v>
      </c>
      <c r="S122" s="43">
        <f t="shared" si="9"/>
        <v>0</v>
      </c>
      <c r="T122" s="43" t="str">
        <f t="shared" si="10"/>
        <v/>
      </c>
      <c r="U122" s="42" t="str">
        <f t="shared" si="11"/>
        <v/>
      </c>
      <c r="V122" s="45">
        <f>(SUM($O$2:O122)-SUM($I$2:I122))</f>
        <v>-95.039999999999992</v>
      </c>
    </row>
    <row r="123" spans="1:22" x14ac:dyDescent="0.2">
      <c r="A123" s="44">
        <v>18</v>
      </c>
      <c r="B123" s="35" t="s">
        <v>82</v>
      </c>
      <c r="C123" s="36">
        <f t="shared" si="12"/>
        <v>46210</v>
      </c>
      <c r="D123" s="35" t="s">
        <v>31</v>
      </c>
      <c r="E123" s="37">
        <v>60</v>
      </c>
      <c r="F123" s="35" t="s">
        <v>28</v>
      </c>
      <c r="G123" s="35" t="s">
        <v>71</v>
      </c>
      <c r="H123" s="37">
        <v>35</v>
      </c>
      <c r="I123" s="38">
        <v>1.8</v>
      </c>
      <c r="J123" s="38" t="str">
        <f t="shared" si="13"/>
        <v>19:27</v>
      </c>
      <c r="K123" s="35" t="s">
        <v>53</v>
      </c>
      <c r="L123" s="35"/>
      <c r="M123" s="39"/>
      <c r="N123" s="39"/>
      <c r="O123" s="40"/>
      <c r="P123" s="41"/>
      <c r="Q123" s="41"/>
      <c r="R123" s="42">
        <f t="shared" si="8"/>
        <v>0</v>
      </c>
      <c r="S123" s="43">
        <f t="shared" si="9"/>
        <v>95</v>
      </c>
      <c r="T123" s="43" t="str">
        <f t="shared" si="10"/>
        <v/>
      </c>
      <c r="U123" s="42" t="str">
        <f t="shared" si="11"/>
        <v/>
      </c>
      <c r="V123" s="45">
        <f>(SUM($O$2:O123)-SUM($I$2:I123))</f>
        <v>-96.84</v>
      </c>
    </row>
    <row r="124" spans="1:22" x14ac:dyDescent="0.2">
      <c r="A124" s="44">
        <v>18</v>
      </c>
      <c r="B124" s="35" t="s">
        <v>82</v>
      </c>
      <c r="C124" s="36">
        <f t="shared" si="12"/>
        <v>46211</v>
      </c>
      <c r="D124" s="35" t="s">
        <v>35</v>
      </c>
      <c r="E124" s="37">
        <v>30</v>
      </c>
      <c r="F124" s="35" t="s">
        <v>23</v>
      </c>
      <c r="G124" s="35" t="s">
        <v>72</v>
      </c>
      <c r="H124" s="37">
        <v>25</v>
      </c>
      <c r="I124" s="38"/>
      <c r="J124" s="38" t="str">
        <f t="shared" si="13"/>
        <v/>
      </c>
      <c r="K124" s="35" t="s">
        <v>55</v>
      </c>
      <c r="L124" s="35"/>
      <c r="M124" s="39"/>
      <c r="N124" s="39"/>
      <c r="O124" s="40"/>
      <c r="P124" s="41"/>
      <c r="Q124" s="41"/>
      <c r="R124" s="42">
        <f t="shared" si="8"/>
        <v>0</v>
      </c>
      <c r="S124" s="43">
        <f t="shared" si="9"/>
        <v>55</v>
      </c>
      <c r="T124" s="43" t="str">
        <f t="shared" si="10"/>
        <v/>
      </c>
      <c r="U124" s="42" t="str">
        <f t="shared" si="11"/>
        <v/>
      </c>
      <c r="V124" s="45">
        <f>(SUM($O$2:O124)-SUM($I$2:I124))</f>
        <v>-96.84</v>
      </c>
    </row>
    <row r="125" spans="1:22" x14ac:dyDescent="0.2">
      <c r="A125" s="44">
        <v>18</v>
      </c>
      <c r="B125" s="35" t="s">
        <v>82</v>
      </c>
      <c r="C125" s="36">
        <f t="shared" si="12"/>
        <v>46212</v>
      </c>
      <c r="D125" s="35" t="s">
        <v>37</v>
      </c>
      <c r="E125" s="37">
        <v>50</v>
      </c>
      <c r="F125" s="35" t="s">
        <v>28</v>
      </c>
      <c r="G125" s="35" t="s">
        <v>73</v>
      </c>
      <c r="H125" s="37">
        <v>50</v>
      </c>
      <c r="I125" s="38">
        <v>4.5</v>
      </c>
      <c r="J125" s="38" t="str">
        <f t="shared" si="13"/>
        <v>11:07</v>
      </c>
      <c r="K125" s="35" t="s">
        <v>30</v>
      </c>
      <c r="L125" s="35"/>
      <c r="M125" s="39"/>
      <c r="N125" s="39"/>
      <c r="O125" s="40"/>
      <c r="P125" s="41"/>
      <c r="Q125" s="41"/>
      <c r="R125" s="42">
        <f t="shared" si="8"/>
        <v>0</v>
      </c>
      <c r="S125" s="43">
        <f t="shared" si="9"/>
        <v>100</v>
      </c>
      <c r="T125" s="43" t="str">
        <f t="shared" si="10"/>
        <v/>
      </c>
      <c r="U125" s="42" t="str">
        <f t="shared" si="11"/>
        <v/>
      </c>
      <c r="V125" s="45">
        <f>(SUM($O$2:O125)-SUM($I$2:I125))</f>
        <v>-101.34</v>
      </c>
    </row>
    <row r="126" spans="1:22" x14ac:dyDescent="0.2">
      <c r="A126" s="44">
        <v>18</v>
      </c>
      <c r="B126" s="35" t="s">
        <v>82</v>
      </c>
      <c r="C126" s="36">
        <f t="shared" si="12"/>
        <v>46213</v>
      </c>
      <c r="D126" s="35" t="s">
        <v>40</v>
      </c>
      <c r="E126" s="37">
        <v>30</v>
      </c>
      <c r="F126" s="35" t="s">
        <v>32</v>
      </c>
      <c r="G126" s="35" t="s">
        <v>74</v>
      </c>
      <c r="H126" s="37">
        <v>20</v>
      </c>
      <c r="I126" s="38"/>
      <c r="J126" s="38" t="str">
        <f t="shared" si="13"/>
        <v/>
      </c>
      <c r="K126" s="35" t="s">
        <v>58</v>
      </c>
      <c r="L126" s="35"/>
      <c r="M126" s="39"/>
      <c r="N126" s="39"/>
      <c r="O126" s="40"/>
      <c r="P126" s="41"/>
      <c r="Q126" s="41"/>
      <c r="R126" s="42">
        <f t="shared" si="8"/>
        <v>0</v>
      </c>
      <c r="S126" s="43">
        <f t="shared" si="9"/>
        <v>50</v>
      </c>
      <c r="T126" s="43" t="str">
        <f t="shared" si="10"/>
        <v/>
      </c>
      <c r="U126" s="42" t="str">
        <f t="shared" si="11"/>
        <v/>
      </c>
      <c r="V126" s="45">
        <f>(SUM($O$2:O126)-SUM($I$2:I126))</f>
        <v>-101.34</v>
      </c>
    </row>
    <row r="127" spans="1:22" x14ac:dyDescent="0.2">
      <c r="A127" s="44">
        <v>18</v>
      </c>
      <c r="B127" s="35" t="s">
        <v>82</v>
      </c>
      <c r="C127" s="36">
        <f t="shared" si="12"/>
        <v>46214</v>
      </c>
      <c r="D127" s="35" t="s">
        <v>44</v>
      </c>
      <c r="E127" s="37">
        <v>20</v>
      </c>
      <c r="F127" s="35" t="s">
        <v>45</v>
      </c>
      <c r="G127" s="35" t="s">
        <v>75</v>
      </c>
      <c r="H127" s="37">
        <v>25</v>
      </c>
      <c r="I127" s="38">
        <v>1.2</v>
      </c>
      <c r="J127" s="38" t="str">
        <f t="shared" si="13"/>
        <v>20:50</v>
      </c>
      <c r="K127" s="35" t="s">
        <v>60</v>
      </c>
      <c r="L127" s="35"/>
      <c r="M127" s="39"/>
      <c r="N127" s="39"/>
      <c r="O127" s="40"/>
      <c r="P127" s="41"/>
      <c r="Q127" s="41"/>
      <c r="R127" s="42">
        <f t="shared" si="8"/>
        <v>0</v>
      </c>
      <c r="S127" s="43">
        <f t="shared" si="9"/>
        <v>45</v>
      </c>
      <c r="T127" s="43" t="str">
        <f t="shared" si="10"/>
        <v/>
      </c>
      <c r="U127" s="42" t="str">
        <f t="shared" si="11"/>
        <v/>
      </c>
      <c r="V127" s="45">
        <f>(SUM($O$2:O127)-SUM($I$2:I127))</f>
        <v>-102.53999999999999</v>
      </c>
    </row>
    <row r="128" spans="1:22" x14ac:dyDescent="0.2">
      <c r="A128" s="44">
        <v>19</v>
      </c>
      <c r="B128" s="35" t="s">
        <v>82</v>
      </c>
      <c r="C128" s="36">
        <f t="shared" si="12"/>
        <v>46215</v>
      </c>
      <c r="D128" s="35" t="s">
        <v>22</v>
      </c>
      <c r="E128" s="37">
        <v>60</v>
      </c>
      <c r="F128" s="35" t="s">
        <v>78</v>
      </c>
      <c r="G128" s="35" t="s">
        <v>84</v>
      </c>
      <c r="H128" s="37">
        <v>71</v>
      </c>
      <c r="I128" s="38">
        <v>5</v>
      </c>
      <c r="J128" s="38" t="str">
        <f t="shared" si="13"/>
        <v>14:12</v>
      </c>
      <c r="K128" s="35" t="s">
        <v>80</v>
      </c>
      <c r="L128" s="35"/>
      <c r="M128" s="39"/>
      <c r="N128" s="39"/>
      <c r="O128" s="40"/>
      <c r="P128" s="41"/>
      <c r="Q128" s="41"/>
      <c r="R128" s="42">
        <f t="shared" si="8"/>
        <v>0</v>
      </c>
      <c r="S128" s="43">
        <f t="shared" si="9"/>
        <v>131</v>
      </c>
      <c r="T128" s="43" t="str">
        <f t="shared" si="10"/>
        <v/>
      </c>
      <c r="U128" s="42" t="str">
        <f t="shared" si="11"/>
        <v/>
      </c>
      <c r="V128" s="45">
        <f>(SUM($O$2:O128)-SUM($I$2:I128))</f>
        <v>-107.53999999999999</v>
      </c>
    </row>
    <row r="129" spans="1:22" x14ac:dyDescent="0.2">
      <c r="A129" s="44">
        <v>19</v>
      </c>
      <c r="B129" s="35" t="s">
        <v>82</v>
      </c>
      <c r="C129" s="36">
        <f t="shared" si="12"/>
        <v>46216</v>
      </c>
      <c r="D129" s="35" t="s">
        <v>27</v>
      </c>
      <c r="E129" s="37">
        <v>0</v>
      </c>
      <c r="F129" s="35" t="s">
        <v>48</v>
      </c>
      <c r="G129" s="35" t="s">
        <v>51</v>
      </c>
      <c r="H129" s="37">
        <v>0</v>
      </c>
      <c r="I129" s="38">
        <v>0</v>
      </c>
      <c r="J129" s="38" t="str">
        <f t="shared" si="13"/>
        <v/>
      </c>
      <c r="K129" s="35" t="s">
        <v>39</v>
      </c>
      <c r="L129" s="35" t="s">
        <v>43</v>
      </c>
      <c r="M129" s="39"/>
      <c r="N129" s="39"/>
      <c r="O129" s="40"/>
      <c r="P129" s="41"/>
      <c r="Q129" s="41"/>
      <c r="R129" s="42">
        <f t="shared" si="8"/>
        <v>1</v>
      </c>
      <c r="S129" s="43">
        <f t="shared" si="9"/>
        <v>0</v>
      </c>
      <c r="T129" s="43" t="str">
        <f t="shared" si="10"/>
        <v/>
      </c>
      <c r="U129" s="42" t="str">
        <f t="shared" si="11"/>
        <v/>
      </c>
      <c r="V129" s="45">
        <f>(SUM($O$2:O129)-SUM($I$2:I129))</f>
        <v>-107.53999999999999</v>
      </c>
    </row>
    <row r="130" spans="1:22" x14ac:dyDescent="0.2">
      <c r="A130" s="44">
        <v>19</v>
      </c>
      <c r="B130" s="35" t="s">
        <v>82</v>
      </c>
      <c r="C130" s="36">
        <f t="shared" si="12"/>
        <v>46217</v>
      </c>
      <c r="D130" s="35" t="s">
        <v>31</v>
      </c>
      <c r="E130" s="37">
        <v>30</v>
      </c>
      <c r="F130" s="35" t="s">
        <v>28</v>
      </c>
      <c r="G130" s="35" t="s">
        <v>52</v>
      </c>
      <c r="H130" s="37">
        <v>30</v>
      </c>
      <c r="I130" s="38">
        <v>1.5</v>
      </c>
      <c r="J130" s="38" t="str">
        <f t="shared" si="13"/>
        <v>20:00</v>
      </c>
      <c r="K130" s="35" t="s">
        <v>53</v>
      </c>
      <c r="L130" s="35"/>
      <c r="M130" s="39"/>
      <c r="N130" s="39"/>
      <c r="O130" s="40"/>
      <c r="P130" s="41"/>
      <c r="Q130" s="41"/>
      <c r="R130" s="42">
        <f t="shared" ref="R130:R193" si="14">IF(L130="Done",1,IF(L130="Partial",0.5,IF(L130="Rest",1,0)))</f>
        <v>0</v>
      </c>
      <c r="S130" s="43">
        <f t="shared" ref="S130:S193" si="15">E130+H130</f>
        <v>60</v>
      </c>
      <c r="T130" s="43" t="str">
        <f t="shared" ref="T130:T193" si="16">IF(OR(M130&lt;&gt;"",N130&lt;&gt;""),M130+N130,"")</f>
        <v/>
      </c>
      <c r="U130" s="42" t="str">
        <f t="shared" ref="U130:U193" si="17">IF(O130="","",O130-I130)</f>
        <v/>
      </c>
      <c r="V130" s="45">
        <f>(SUM($O$2:O130)-SUM($I$2:I130))</f>
        <v>-109.03999999999999</v>
      </c>
    </row>
    <row r="131" spans="1:22" x14ac:dyDescent="0.2">
      <c r="A131" s="44">
        <v>19</v>
      </c>
      <c r="B131" s="35" t="s">
        <v>82</v>
      </c>
      <c r="C131" s="36">
        <f t="shared" ref="C131:C194" si="18">C130+1</f>
        <v>46218</v>
      </c>
      <c r="D131" s="35" t="s">
        <v>35</v>
      </c>
      <c r="E131" s="37">
        <v>40</v>
      </c>
      <c r="F131" s="35" t="s">
        <v>32</v>
      </c>
      <c r="G131" s="35" t="s">
        <v>54</v>
      </c>
      <c r="H131" s="37">
        <v>25</v>
      </c>
      <c r="I131" s="38"/>
      <c r="J131" s="38" t="str">
        <f t="shared" si="13"/>
        <v/>
      </c>
      <c r="K131" s="35" t="s">
        <v>55</v>
      </c>
      <c r="L131" s="35"/>
      <c r="M131" s="39"/>
      <c r="N131" s="39"/>
      <c r="O131" s="40"/>
      <c r="P131" s="41"/>
      <c r="Q131" s="41"/>
      <c r="R131" s="42">
        <f t="shared" si="14"/>
        <v>0</v>
      </c>
      <c r="S131" s="43">
        <f t="shared" si="15"/>
        <v>65</v>
      </c>
      <c r="T131" s="43" t="str">
        <f t="shared" si="16"/>
        <v/>
      </c>
      <c r="U131" s="42" t="str">
        <f t="shared" si="17"/>
        <v/>
      </c>
      <c r="V131" s="45">
        <f>(SUM($O$2:O131)-SUM($I$2:I131))</f>
        <v>-109.03999999999999</v>
      </c>
    </row>
    <row r="132" spans="1:22" x14ac:dyDescent="0.2">
      <c r="A132" s="44">
        <v>19</v>
      </c>
      <c r="B132" s="35" t="s">
        <v>82</v>
      </c>
      <c r="C132" s="36">
        <f t="shared" si="18"/>
        <v>46219</v>
      </c>
      <c r="D132" s="35" t="s">
        <v>37</v>
      </c>
      <c r="E132" s="37">
        <v>40</v>
      </c>
      <c r="F132" s="35" t="s">
        <v>28</v>
      </c>
      <c r="G132" s="35" t="s">
        <v>56</v>
      </c>
      <c r="H132" s="37">
        <v>60</v>
      </c>
      <c r="I132" s="38">
        <v>5</v>
      </c>
      <c r="J132" s="38" t="str">
        <f t="shared" ref="J132:J195" si="19">IFERROR(TEXT(H132 / I132 / 1440, "m:ss"),"")</f>
        <v>12:00</v>
      </c>
      <c r="K132" s="35" t="s">
        <v>30</v>
      </c>
      <c r="L132" s="35"/>
      <c r="M132" s="39"/>
      <c r="N132" s="39"/>
      <c r="O132" s="40"/>
      <c r="P132" s="41"/>
      <c r="Q132" s="41"/>
      <c r="R132" s="42">
        <f t="shared" si="14"/>
        <v>0</v>
      </c>
      <c r="S132" s="43">
        <f t="shared" si="15"/>
        <v>100</v>
      </c>
      <c r="T132" s="43" t="str">
        <f t="shared" si="16"/>
        <v/>
      </c>
      <c r="U132" s="42" t="str">
        <f t="shared" si="17"/>
        <v/>
      </c>
      <c r="V132" s="45">
        <f>(SUM($O$2:O132)-SUM($I$2:I132))</f>
        <v>-114.03999999999999</v>
      </c>
    </row>
    <row r="133" spans="1:22" x14ac:dyDescent="0.2">
      <c r="A133" s="44">
        <v>19</v>
      </c>
      <c r="B133" s="35" t="s">
        <v>82</v>
      </c>
      <c r="C133" s="36">
        <f t="shared" si="18"/>
        <v>46220</v>
      </c>
      <c r="D133" s="35" t="s">
        <v>40</v>
      </c>
      <c r="E133" s="37">
        <v>50</v>
      </c>
      <c r="F133" s="35" t="s">
        <v>23</v>
      </c>
      <c r="G133" s="35" t="s">
        <v>57</v>
      </c>
      <c r="H133" s="37">
        <v>20</v>
      </c>
      <c r="I133" s="38"/>
      <c r="J133" s="38" t="str">
        <f t="shared" si="19"/>
        <v/>
      </c>
      <c r="K133" s="35" t="s">
        <v>58</v>
      </c>
      <c r="L133" s="35"/>
      <c r="M133" s="39"/>
      <c r="N133" s="39"/>
      <c r="O133" s="40"/>
      <c r="P133" s="41"/>
      <c r="Q133" s="41"/>
      <c r="R133" s="42">
        <f t="shared" si="14"/>
        <v>0</v>
      </c>
      <c r="S133" s="43">
        <f t="shared" si="15"/>
        <v>70</v>
      </c>
      <c r="T133" s="43" t="str">
        <f t="shared" si="16"/>
        <v/>
      </c>
      <c r="U133" s="42" t="str">
        <f t="shared" si="17"/>
        <v/>
      </c>
      <c r="V133" s="45">
        <f>(SUM($O$2:O133)-SUM($I$2:I133))</f>
        <v>-114.03999999999999</v>
      </c>
    </row>
    <row r="134" spans="1:22" x14ac:dyDescent="0.2">
      <c r="A134" s="44">
        <v>19</v>
      </c>
      <c r="B134" s="35" t="s">
        <v>82</v>
      </c>
      <c r="C134" s="36">
        <f t="shared" si="18"/>
        <v>46221</v>
      </c>
      <c r="D134" s="35" t="s">
        <v>44</v>
      </c>
      <c r="E134" s="37">
        <v>15</v>
      </c>
      <c r="F134" s="35" t="s">
        <v>45</v>
      </c>
      <c r="G134" s="35" t="s">
        <v>59</v>
      </c>
      <c r="H134" s="37">
        <v>25</v>
      </c>
      <c r="I134" s="38">
        <v>1.2</v>
      </c>
      <c r="J134" s="38" t="str">
        <f t="shared" si="19"/>
        <v>20:50</v>
      </c>
      <c r="K134" s="35" t="s">
        <v>60</v>
      </c>
      <c r="L134" s="35"/>
      <c r="M134" s="39"/>
      <c r="N134" s="39"/>
      <c r="O134" s="40"/>
      <c r="P134" s="41"/>
      <c r="Q134" s="41"/>
      <c r="R134" s="42">
        <f t="shared" si="14"/>
        <v>0</v>
      </c>
      <c r="S134" s="43">
        <f t="shared" si="15"/>
        <v>40</v>
      </c>
      <c r="T134" s="43" t="str">
        <f t="shared" si="16"/>
        <v/>
      </c>
      <c r="U134" s="42" t="str">
        <f t="shared" si="17"/>
        <v/>
      </c>
      <c r="V134" s="45">
        <f>(SUM($O$2:O134)-SUM($I$2:I134))</f>
        <v>-115.23999999999998</v>
      </c>
    </row>
    <row r="135" spans="1:22" x14ac:dyDescent="0.2">
      <c r="A135" s="44">
        <v>20</v>
      </c>
      <c r="B135" s="35" t="s">
        <v>82</v>
      </c>
      <c r="C135" s="36">
        <f t="shared" si="18"/>
        <v>46222</v>
      </c>
      <c r="D135" s="35" t="s">
        <v>22</v>
      </c>
      <c r="E135" s="37">
        <v>50</v>
      </c>
      <c r="F135" s="35" t="s">
        <v>85</v>
      </c>
      <c r="G135" s="35" t="s">
        <v>86</v>
      </c>
      <c r="H135" s="37">
        <v>85</v>
      </c>
      <c r="I135" s="38">
        <v>6</v>
      </c>
      <c r="J135" s="38" t="str">
        <f t="shared" si="19"/>
        <v>14:10</v>
      </c>
      <c r="K135" s="35" t="s">
        <v>87</v>
      </c>
      <c r="L135" s="35"/>
      <c r="M135" s="39"/>
      <c r="N135" s="39"/>
      <c r="O135" s="40"/>
      <c r="P135" s="41"/>
      <c r="Q135" s="41"/>
      <c r="R135" s="42">
        <f t="shared" si="14"/>
        <v>0</v>
      </c>
      <c r="S135" s="43">
        <f t="shared" si="15"/>
        <v>135</v>
      </c>
      <c r="T135" s="43" t="str">
        <f t="shared" si="16"/>
        <v/>
      </c>
      <c r="U135" s="42" t="str">
        <f t="shared" si="17"/>
        <v/>
      </c>
      <c r="V135" s="45">
        <f>(SUM($O$2:O135)-SUM($I$2:I135))</f>
        <v>-121.23999999999998</v>
      </c>
    </row>
    <row r="136" spans="1:22" x14ac:dyDescent="0.2">
      <c r="A136" s="44">
        <v>20</v>
      </c>
      <c r="B136" s="35" t="s">
        <v>82</v>
      </c>
      <c r="C136" s="36">
        <f t="shared" si="18"/>
        <v>46223</v>
      </c>
      <c r="D136" s="35" t="s">
        <v>27</v>
      </c>
      <c r="E136" s="37">
        <v>0</v>
      </c>
      <c r="F136" s="35" t="s">
        <v>48</v>
      </c>
      <c r="G136" s="35" t="s">
        <v>51</v>
      </c>
      <c r="H136" s="37">
        <v>0</v>
      </c>
      <c r="I136" s="38">
        <v>0</v>
      </c>
      <c r="J136" s="38" t="str">
        <f t="shared" si="19"/>
        <v/>
      </c>
      <c r="K136" s="35" t="s">
        <v>39</v>
      </c>
      <c r="L136" s="35" t="s">
        <v>43</v>
      </c>
      <c r="M136" s="39"/>
      <c r="N136" s="39"/>
      <c r="O136" s="40"/>
      <c r="P136" s="41"/>
      <c r="Q136" s="41"/>
      <c r="R136" s="42">
        <f t="shared" si="14"/>
        <v>1</v>
      </c>
      <c r="S136" s="43">
        <f t="shared" si="15"/>
        <v>0</v>
      </c>
      <c r="T136" s="43" t="str">
        <f t="shared" si="16"/>
        <v/>
      </c>
      <c r="U136" s="42" t="str">
        <f t="shared" si="17"/>
        <v/>
      </c>
      <c r="V136" s="45">
        <f>(SUM($O$2:O136)-SUM($I$2:I136))</f>
        <v>-121.23999999999998</v>
      </c>
    </row>
    <row r="137" spans="1:22" x14ac:dyDescent="0.2">
      <c r="A137" s="44">
        <v>20</v>
      </c>
      <c r="B137" s="35" t="s">
        <v>82</v>
      </c>
      <c r="C137" s="36">
        <f t="shared" si="18"/>
        <v>46224</v>
      </c>
      <c r="D137" s="35" t="s">
        <v>31</v>
      </c>
      <c r="E137" s="37">
        <v>40</v>
      </c>
      <c r="F137" s="35" t="s">
        <v>23</v>
      </c>
      <c r="G137" s="35" t="s">
        <v>61</v>
      </c>
      <c r="H137" s="37">
        <v>30</v>
      </c>
      <c r="I137" s="38"/>
      <c r="J137" s="38" t="str">
        <f t="shared" si="19"/>
        <v/>
      </c>
      <c r="K137" s="35" t="s">
        <v>53</v>
      </c>
      <c r="L137" s="35"/>
      <c r="M137" s="39"/>
      <c r="N137" s="39"/>
      <c r="O137" s="40"/>
      <c r="P137" s="41"/>
      <c r="Q137" s="41"/>
      <c r="R137" s="42">
        <f t="shared" si="14"/>
        <v>0</v>
      </c>
      <c r="S137" s="43">
        <f t="shared" si="15"/>
        <v>70</v>
      </c>
      <c r="T137" s="43" t="str">
        <f t="shared" si="16"/>
        <v/>
      </c>
      <c r="U137" s="42" t="str">
        <f t="shared" si="17"/>
        <v/>
      </c>
      <c r="V137" s="45">
        <f>(SUM($O$2:O137)-SUM($I$2:I137))</f>
        <v>-121.23999999999998</v>
      </c>
    </row>
    <row r="138" spans="1:22" x14ac:dyDescent="0.2">
      <c r="A138" s="44">
        <v>20</v>
      </c>
      <c r="B138" s="35" t="s">
        <v>82</v>
      </c>
      <c r="C138" s="36">
        <f t="shared" si="18"/>
        <v>46225</v>
      </c>
      <c r="D138" s="35" t="s">
        <v>35</v>
      </c>
      <c r="E138" s="37">
        <v>50</v>
      </c>
      <c r="F138" s="35" t="s">
        <v>23</v>
      </c>
      <c r="G138" s="35" t="s">
        <v>24</v>
      </c>
      <c r="H138" s="37">
        <v>30</v>
      </c>
      <c r="I138" s="38"/>
      <c r="J138" s="38" t="str">
        <f t="shared" si="19"/>
        <v/>
      </c>
      <c r="K138" s="35" t="s">
        <v>55</v>
      </c>
      <c r="L138" s="35"/>
      <c r="M138" s="39"/>
      <c r="N138" s="39"/>
      <c r="O138" s="40"/>
      <c r="P138" s="41"/>
      <c r="Q138" s="41"/>
      <c r="R138" s="42">
        <f t="shared" si="14"/>
        <v>0</v>
      </c>
      <c r="S138" s="43">
        <f t="shared" si="15"/>
        <v>80</v>
      </c>
      <c r="T138" s="43" t="str">
        <f t="shared" si="16"/>
        <v/>
      </c>
      <c r="U138" s="42" t="str">
        <f t="shared" si="17"/>
        <v/>
      </c>
      <c r="V138" s="45">
        <f>(SUM($O$2:O138)-SUM($I$2:I138))</f>
        <v>-121.23999999999998</v>
      </c>
    </row>
    <row r="139" spans="1:22" x14ac:dyDescent="0.2">
      <c r="A139" s="44">
        <v>20</v>
      </c>
      <c r="B139" s="35" t="s">
        <v>82</v>
      </c>
      <c r="C139" s="36">
        <f t="shared" si="18"/>
        <v>46226</v>
      </c>
      <c r="D139" s="35" t="s">
        <v>37</v>
      </c>
      <c r="E139" s="37">
        <v>30</v>
      </c>
      <c r="F139" s="35" t="s">
        <v>28</v>
      </c>
      <c r="G139" s="35" t="s">
        <v>62</v>
      </c>
      <c r="H139" s="37">
        <v>60</v>
      </c>
      <c r="I139" s="38">
        <v>5</v>
      </c>
      <c r="J139" s="38" t="str">
        <f t="shared" si="19"/>
        <v>12:00</v>
      </c>
      <c r="K139" s="35" t="s">
        <v>30</v>
      </c>
      <c r="L139" s="35"/>
      <c r="M139" s="39"/>
      <c r="N139" s="39"/>
      <c r="O139" s="40"/>
      <c r="P139" s="41"/>
      <c r="Q139" s="41"/>
      <c r="R139" s="42">
        <f t="shared" si="14"/>
        <v>0</v>
      </c>
      <c r="S139" s="43">
        <f t="shared" si="15"/>
        <v>90</v>
      </c>
      <c r="T139" s="43" t="str">
        <f t="shared" si="16"/>
        <v/>
      </c>
      <c r="U139" s="42" t="str">
        <f t="shared" si="17"/>
        <v/>
      </c>
      <c r="V139" s="45">
        <f>(SUM($O$2:O139)-SUM($I$2:I139))</f>
        <v>-126.23999999999998</v>
      </c>
    </row>
    <row r="140" spans="1:22" x14ac:dyDescent="0.2">
      <c r="A140" s="44">
        <v>20</v>
      </c>
      <c r="B140" s="35" t="s">
        <v>82</v>
      </c>
      <c r="C140" s="36">
        <f t="shared" si="18"/>
        <v>46227</v>
      </c>
      <c r="D140" s="35" t="s">
        <v>40</v>
      </c>
      <c r="E140" s="37">
        <v>60</v>
      </c>
      <c r="F140" s="35" t="s">
        <v>32</v>
      </c>
      <c r="G140" s="35" t="s">
        <v>63</v>
      </c>
      <c r="H140" s="37">
        <v>20</v>
      </c>
      <c r="I140" s="38"/>
      <c r="J140" s="38" t="str">
        <f t="shared" si="19"/>
        <v/>
      </c>
      <c r="K140" s="35" t="s">
        <v>58</v>
      </c>
      <c r="L140" s="35"/>
      <c r="M140" s="39"/>
      <c r="N140" s="39"/>
      <c r="O140" s="40"/>
      <c r="P140" s="41"/>
      <c r="Q140" s="41"/>
      <c r="R140" s="42">
        <f t="shared" si="14"/>
        <v>0</v>
      </c>
      <c r="S140" s="43">
        <f t="shared" si="15"/>
        <v>80</v>
      </c>
      <c r="T140" s="43" t="str">
        <f t="shared" si="16"/>
        <v/>
      </c>
      <c r="U140" s="42" t="str">
        <f t="shared" si="17"/>
        <v/>
      </c>
      <c r="V140" s="45">
        <f>(SUM($O$2:O140)-SUM($I$2:I140))</f>
        <v>-126.23999999999998</v>
      </c>
    </row>
    <row r="141" spans="1:22" x14ac:dyDescent="0.2">
      <c r="A141" s="44">
        <v>20</v>
      </c>
      <c r="B141" s="35" t="s">
        <v>82</v>
      </c>
      <c r="C141" s="36">
        <f t="shared" si="18"/>
        <v>46228</v>
      </c>
      <c r="D141" s="35" t="s">
        <v>44</v>
      </c>
      <c r="E141" s="37">
        <v>20</v>
      </c>
      <c r="F141" s="35" t="s">
        <v>45</v>
      </c>
      <c r="G141" s="35" t="s">
        <v>64</v>
      </c>
      <c r="H141" s="37">
        <v>25</v>
      </c>
      <c r="I141" s="38">
        <v>1.2</v>
      </c>
      <c r="J141" s="38" t="str">
        <f t="shared" si="19"/>
        <v>20:50</v>
      </c>
      <c r="K141" s="35" t="s">
        <v>60</v>
      </c>
      <c r="L141" s="35"/>
      <c r="M141" s="39"/>
      <c r="N141" s="39"/>
      <c r="O141" s="40"/>
      <c r="P141" s="41"/>
      <c r="Q141" s="41"/>
      <c r="R141" s="42">
        <f t="shared" si="14"/>
        <v>0</v>
      </c>
      <c r="S141" s="43">
        <f t="shared" si="15"/>
        <v>45</v>
      </c>
      <c r="T141" s="43" t="str">
        <f t="shared" si="16"/>
        <v/>
      </c>
      <c r="U141" s="42" t="str">
        <f t="shared" si="17"/>
        <v/>
      </c>
      <c r="V141" s="45">
        <f>(SUM($O$2:O141)-SUM($I$2:I141))</f>
        <v>-127.43999999999997</v>
      </c>
    </row>
    <row r="142" spans="1:22" x14ac:dyDescent="0.2">
      <c r="A142" s="44">
        <v>21</v>
      </c>
      <c r="B142" s="35" t="s">
        <v>82</v>
      </c>
      <c r="C142" s="36">
        <f t="shared" si="18"/>
        <v>46229</v>
      </c>
      <c r="D142" s="35" t="s">
        <v>22</v>
      </c>
      <c r="E142" s="37">
        <v>40</v>
      </c>
      <c r="F142" s="35" t="s">
        <v>85</v>
      </c>
      <c r="G142" s="35" t="s">
        <v>86</v>
      </c>
      <c r="H142" s="37">
        <v>84</v>
      </c>
      <c r="I142" s="38">
        <v>6</v>
      </c>
      <c r="J142" s="38" t="str">
        <f t="shared" si="19"/>
        <v>14:00</v>
      </c>
      <c r="K142" s="35" t="s">
        <v>87</v>
      </c>
      <c r="L142" s="35"/>
      <c r="M142" s="39"/>
      <c r="N142" s="39"/>
      <c r="O142" s="40"/>
      <c r="P142" s="41"/>
      <c r="Q142" s="41"/>
      <c r="R142" s="42">
        <f t="shared" si="14"/>
        <v>0</v>
      </c>
      <c r="S142" s="43">
        <f t="shared" si="15"/>
        <v>124</v>
      </c>
      <c r="T142" s="43" t="str">
        <f t="shared" si="16"/>
        <v/>
      </c>
      <c r="U142" s="42" t="str">
        <f t="shared" si="17"/>
        <v/>
      </c>
      <c r="V142" s="45">
        <f>(SUM($O$2:O142)-SUM($I$2:I142))</f>
        <v>-133.43999999999997</v>
      </c>
    </row>
    <row r="143" spans="1:22" x14ac:dyDescent="0.2">
      <c r="A143" s="44">
        <v>21</v>
      </c>
      <c r="B143" s="35" t="s">
        <v>82</v>
      </c>
      <c r="C143" s="36">
        <f t="shared" si="18"/>
        <v>46230</v>
      </c>
      <c r="D143" s="35" t="s">
        <v>27</v>
      </c>
      <c r="E143" s="37">
        <v>0</v>
      </c>
      <c r="F143" s="35" t="s">
        <v>48</v>
      </c>
      <c r="G143" s="35" t="s">
        <v>51</v>
      </c>
      <c r="H143" s="37">
        <v>0</v>
      </c>
      <c r="I143" s="38">
        <v>0</v>
      </c>
      <c r="J143" s="38" t="str">
        <f t="shared" si="19"/>
        <v/>
      </c>
      <c r="K143" s="35" t="s">
        <v>39</v>
      </c>
      <c r="L143" s="35" t="s">
        <v>43</v>
      </c>
      <c r="M143" s="39"/>
      <c r="N143" s="39"/>
      <c r="O143" s="40"/>
      <c r="P143" s="41"/>
      <c r="Q143" s="41"/>
      <c r="R143" s="42">
        <f t="shared" si="14"/>
        <v>1</v>
      </c>
      <c r="S143" s="43">
        <f t="shared" si="15"/>
        <v>0</v>
      </c>
      <c r="T143" s="43" t="str">
        <f t="shared" si="16"/>
        <v/>
      </c>
      <c r="U143" s="42" t="str">
        <f t="shared" si="17"/>
        <v/>
      </c>
      <c r="V143" s="45">
        <f>(SUM($O$2:O143)-SUM($I$2:I143))</f>
        <v>-133.43999999999997</v>
      </c>
    </row>
    <row r="144" spans="1:22" x14ac:dyDescent="0.2">
      <c r="A144" s="44">
        <v>21</v>
      </c>
      <c r="B144" s="35" t="s">
        <v>82</v>
      </c>
      <c r="C144" s="36">
        <f t="shared" si="18"/>
        <v>46231</v>
      </c>
      <c r="D144" s="35" t="s">
        <v>31</v>
      </c>
      <c r="E144" s="37">
        <v>50</v>
      </c>
      <c r="F144" s="35" t="s">
        <v>32</v>
      </c>
      <c r="G144" s="35" t="s">
        <v>66</v>
      </c>
      <c r="H144" s="37">
        <v>25</v>
      </c>
      <c r="I144" s="38"/>
      <c r="J144" s="38" t="str">
        <f t="shared" si="19"/>
        <v/>
      </c>
      <c r="K144" s="35" t="s">
        <v>53</v>
      </c>
      <c r="L144" s="35"/>
      <c r="M144" s="39"/>
      <c r="N144" s="39"/>
      <c r="O144" s="40"/>
      <c r="P144" s="41"/>
      <c r="Q144" s="41"/>
      <c r="R144" s="42">
        <f t="shared" si="14"/>
        <v>0</v>
      </c>
      <c r="S144" s="43">
        <f t="shared" si="15"/>
        <v>75</v>
      </c>
      <c r="T144" s="43" t="str">
        <f t="shared" si="16"/>
        <v/>
      </c>
      <c r="U144" s="42" t="str">
        <f t="shared" si="17"/>
        <v/>
      </c>
      <c r="V144" s="45">
        <f>(SUM($O$2:O144)-SUM($I$2:I144))</f>
        <v>-133.43999999999997</v>
      </c>
    </row>
    <row r="145" spans="1:22" x14ac:dyDescent="0.2">
      <c r="A145" s="44">
        <v>21</v>
      </c>
      <c r="B145" s="35" t="s">
        <v>82</v>
      </c>
      <c r="C145" s="36">
        <f t="shared" si="18"/>
        <v>46232</v>
      </c>
      <c r="D145" s="35" t="s">
        <v>35</v>
      </c>
      <c r="E145" s="37">
        <v>60</v>
      </c>
      <c r="F145" s="35" t="s">
        <v>32</v>
      </c>
      <c r="G145" s="35" t="s">
        <v>67</v>
      </c>
      <c r="H145" s="37">
        <v>30</v>
      </c>
      <c r="I145" s="38"/>
      <c r="J145" s="38" t="str">
        <f t="shared" si="19"/>
        <v/>
      </c>
      <c r="K145" s="35" t="s">
        <v>55</v>
      </c>
      <c r="L145" s="35"/>
      <c r="M145" s="39"/>
      <c r="N145" s="39"/>
      <c r="O145" s="40"/>
      <c r="P145" s="41"/>
      <c r="Q145" s="41"/>
      <c r="R145" s="42">
        <f t="shared" si="14"/>
        <v>0</v>
      </c>
      <c r="S145" s="43">
        <f t="shared" si="15"/>
        <v>90</v>
      </c>
      <c r="T145" s="43" t="str">
        <f t="shared" si="16"/>
        <v/>
      </c>
      <c r="U145" s="42" t="str">
        <f t="shared" si="17"/>
        <v/>
      </c>
      <c r="V145" s="45">
        <f>(SUM($O$2:O145)-SUM($I$2:I145))</f>
        <v>-133.43999999999997</v>
      </c>
    </row>
    <row r="146" spans="1:22" x14ac:dyDescent="0.2">
      <c r="A146" s="44">
        <v>21</v>
      </c>
      <c r="B146" s="35" t="s">
        <v>82</v>
      </c>
      <c r="C146" s="36">
        <f t="shared" si="18"/>
        <v>46233</v>
      </c>
      <c r="D146" s="35" t="s">
        <v>37</v>
      </c>
      <c r="E146" s="37">
        <v>60</v>
      </c>
      <c r="F146" s="35" t="s">
        <v>28</v>
      </c>
      <c r="G146" s="35" t="s">
        <v>68</v>
      </c>
      <c r="H146" s="37">
        <v>55</v>
      </c>
      <c r="I146" s="38">
        <v>4.5</v>
      </c>
      <c r="J146" s="38" t="str">
        <f t="shared" si="19"/>
        <v>12:13</v>
      </c>
      <c r="K146" s="35" t="s">
        <v>30</v>
      </c>
      <c r="L146" s="35"/>
      <c r="M146" s="39"/>
      <c r="N146" s="39"/>
      <c r="O146" s="40"/>
      <c r="P146" s="41"/>
      <c r="Q146" s="41"/>
      <c r="R146" s="42">
        <f t="shared" si="14"/>
        <v>0</v>
      </c>
      <c r="S146" s="43">
        <f t="shared" si="15"/>
        <v>115</v>
      </c>
      <c r="T146" s="43" t="str">
        <f t="shared" si="16"/>
        <v/>
      </c>
      <c r="U146" s="42" t="str">
        <f t="shared" si="17"/>
        <v/>
      </c>
      <c r="V146" s="45">
        <f>(SUM($O$2:O146)-SUM($I$2:I146))</f>
        <v>-137.93999999999997</v>
      </c>
    </row>
    <row r="147" spans="1:22" x14ac:dyDescent="0.2">
      <c r="A147" s="44">
        <v>21</v>
      </c>
      <c r="B147" s="35" t="s">
        <v>82</v>
      </c>
      <c r="C147" s="36">
        <f t="shared" si="18"/>
        <v>46234</v>
      </c>
      <c r="D147" s="35" t="s">
        <v>40</v>
      </c>
      <c r="E147" s="37">
        <v>40</v>
      </c>
      <c r="F147" s="35" t="s">
        <v>23</v>
      </c>
      <c r="G147" s="35" t="s">
        <v>69</v>
      </c>
      <c r="H147" s="37">
        <v>25</v>
      </c>
      <c r="I147" s="38"/>
      <c r="J147" s="38" t="str">
        <f t="shared" si="19"/>
        <v/>
      </c>
      <c r="K147" s="35" t="s">
        <v>58</v>
      </c>
      <c r="L147" s="35"/>
      <c r="M147" s="39"/>
      <c r="N147" s="39"/>
      <c r="O147" s="40"/>
      <c r="P147" s="41"/>
      <c r="Q147" s="41"/>
      <c r="R147" s="42">
        <f t="shared" si="14"/>
        <v>0</v>
      </c>
      <c r="S147" s="43">
        <f t="shared" si="15"/>
        <v>65</v>
      </c>
      <c r="T147" s="43" t="str">
        <f t="shared" si="16"/>
        <v/>
      </c>
      <c r="U147" s="42" t="str">
        <f t="shared" si="17"/>
        <v/>
      </c>
      <c r="V147" s="45">
        <f>(SUM($O$2:O147)-SUM($I$2:I147))</f>
        <v>-137.93999999999997</v>
      </c>
    </row>
    <row r="148" spans="1:22" x14ac:dyDescent="0.2">
      <c r="A148" s="44">
        <v>21</v>
      </c>
      <c r="B148" s="35" t="s">
        <v>82</v>
      </c>
      <c r="C148" s="36">
        <f t="shared" si="18"/>
        <v>46235</v>
      </c>
      <c r="D148" s="35" t="s">
        <v>44</v>
      </c>
      <c r="E148" s="37">
        <v>15</v>
      </c>
      <c r="F148" s="35" t="s">
        <v>28</v>
      </c>
      <c r="G148" s="35" t="s">
        <v>70</v>
      </c>
      <c r="H148" s="37">
        <v>25</v>
      </c>
      <c r="I148" s="38">
        <v>1.2</v>
      </c>
      <c r="J148" s="38" t="str">
        <f t="shared" si="19"/>
        <v>20:50</v>
      </c>
      <c r="K148" s="35" t="s">
        <v>60</v>
      </c>
      <c r="L148" s="35"/>
      <c r="M148" s="39"/>
      <c r="N148" s="39"/>
      <c r="O148" s="40"/>
      <c r="P148" s="41"/>
      <c r="Q148" s="41"/>
      <c r="R148" s="42">
        <f t="shared" si="14"/>
        <v>0</v>
      </c>
      <c r="S148" s="43">
        <f t="shared" si="15"/>
        <v>40</v>
      </c>
      <c r="T148" s="43" t="str">
        <f t="shared" si="16"/>
        <v/>
      </c>
      <c r="U148" s="42" t="str">
        <f t="shared" si="17"/>
        <v/>
      </c>
      <c r="V148" s="45">
        <f>(SUM($O$2:O148)-SUM($I$2:I148))</f>
        <v>-139.13999999999996</v>
      </c>
    </row>
    <row r="149" spans="1:22" x14ac:dyDescent="0.2">
      <c r="A149" s="44">
        <v>22</v>
      </c>
      <c r="B149" s="35" t="s">
        <v>82</v>
      </c>
      <c r="C149" s="36">
        <f t="shared" si="18"/>
        <v>46236</v>
      </c>
      <c r="D149" s="35" t="s">
        <v>22</v>
      </c>
      <c r="E149" s="37">
        <v>30</v>
      </c>
      <c r="F149" s="35" t="s">
        <v>85</v>
      </c>
      <c r="G149" s="35" t="s">
        <v>86</v>
      </c>
      <c r="H149" s="37">
        <v>98</v>
      </c>
      <c r="I149" s="38">
        <v>7</v>
      </c>
      <c r="J149" s="38" t="str">
        <f t="shared" si="19"/>
        <v>14:00</v>
      </c>
      <c r="K149" s="35" t="s">
        <v>87</v>
      </c>
      <c r="L149" s="35"/>
      <c r="M149" s="39"/>
      <c r="N149" s="39"/>
      <c r="O149" s="40"/>
      <c r="P149" s="41"/>
      <c r="Q149" s="41"/>
      <c r="R149" s="42">
        <f t="shared" si="14"/>
        <v>0</v>
      </c>
      <c r="S149" s="43">
        <f t="shared" si="15"/>
        <v>128</v>
      </c>
      <c r="T149" s="43" t="str">
        <f t="shared" si="16"/>
        <v/>
      </c>
      <c r="U149" s="42" t="str">
        <f t="shared" si="17"/>
        <v/>
      </c>
      <c r="V149" s="45">
        <f>(SUM($O$2:O149)-SUM($I$2:I149))</f>
        <v>-146.13999999999996</v>
      </c>
    </row>
    <row r="150" spans="1:22" x14ac:dyDescent="0.2">
      <c r="A150" s="44">
        <v>22</v>
      </c>
      <c r="B150" s="35" t="s">
        <v>82</v>
      </c>
      <c r="C150" s="36">
        <f t="shared" si="18"/>
        <v>46237</v>
      </c>
      <c r="D150" s="35" t="s">
        <v>27</v>
      </c>
      <c r="E150" s="37">
        <v>0</v>
      </c>
      <c r="F150" s="35" t="s">
        <v>48</v>
      </c>
      <c r="G150" s="35" t="s">
        <v>51</v>
      </c>
      <c r="H150" s="37">
        <v>0</v>
      </c>
      <c r="I150" s="38">
        <v>0</v>
      </c>
      <c r="J150" s="38" t="str">
        <f t="shared" si="19"/>
        <v/>
      </c>
      <c r="K150" s="35" t="s">
        <v>39</v>
      </c>
      <c r="L150" s="35" t="s">
        <v>43</v>
      </c>
      <c r="M150" s="39"/>
      <c r="N150" s="39"/>
      <c r="O150" s="40"/>
      <c r="P150" s="41"/>
      <c r="Q150" s="41"/>
      <c r="R150" s="42">
        <f t="shared" si="14"/>
        <v>1</v>
      </c>
      <c r="S150" s="43">
        <f t="shared" si="15"/>
        <v>0</v>
      </c>
      <c r="T150" s="43" t="str">
        <f t="shared" si="16"/>
        <v/>
      </c>
      <c r="U150" s="42" t="str">
        <f t="shared" si="17"/>
        <v/>
      </c>
      <c r="V150" s="45">
        <f>(SUM($O$2:O150)-SUM($I$2:I150))</f>
        <v>-146.13999999999996</v>
      </c>
    </row>
    <row r="151" spans="1:22" x14ac:dyDescent="0.2">
      <c r="A151" s="44">
        <v>22</v>
      </c>
      <c r="B151" s="35" t="s">
        <v>82</v>
      </c>
      <c r="C151" s="36">
        <f t="shared" si="18"/>
        <v>46238</v>
      </c>
      <c r="D151" s="35" t="s">
        <v>31</v>
      </c>
      <c r="E151" s="37">
        <v>60</v>
      </c>
      <c r="F151" s="35" t="s">
        <v>28</v>
      </c>
      <c r="G151" s="35" t="s">
        <v>71</v>
      </c>
      <c r="H151" s="37">
        <v>35</v>
      </c>
      <c r="I151" s="38">
        <v>1.8</v>
      </c>
      <c r="J151" s="38" t="str">
        <f t="shared" si="19"/>
        <v>19:27</v>
      </c>
      <c r="K151" s="35" t="s">
        <v>53</v>
      </c>
      <c r="L151" s="35"/>
      <c r="M151" s="39"/>
      <c r="N151" s="39"/>
      <c r="O151" s="40"/>
      <c r="P151" s="41"/>
      <c r="Q151" s="41"/>
      <c r="R151" s="42">
        <f t="shared" si="14"/>
        <v>0</v>
      </c>
      <c r="S151" s="43">
        <f t="shared" si="15"/>
        <v>95</v>
      </c>
      <c r="T151" s="43" t="str">
        <f t="shared" si="16"/>
        <v/>
      </c>
      <c r="U151" s="42" t="str">
        <f t="shared" si="17"/>
        <v/>
      </c>
      <c r="V151" s="45">
        <f>(SUM($O$2:O151)-SUM($I$2:I151))</f>
        <v>-147.93999999999997</v>
      </c>
    </row>
    <row r="152" spans="1:22" x14ac:dyDescent="0.2">
      <c r="A152" s="44">
        <v>22</v>
      </c>
      <c r="B152" s="35" t="s">
        <v>82</v>
      </c>
      <c r="C152" s="36">
        <f t="shared" si="18"/>
        <v>46239</v>
      </c>
      <c r="D152" s="35" t="s">
        <v>35</v>
      </c>
      <c r="E152" s="37">
        <v>30</v>
      </c>
      <c r="F152" s="35" t="s">
        <v>23</v>
      </c>
      <c r="G152" s="35" t="s">
        <v>72</v>
      </c>
      <c r="H152" s="37">
        <v>25</v>
      </c>
      <c r="I152" s="38"/>
      <c r="J152" s="38" t="str">
        <f t="shared" si="19"/>
        <v/>
      </c>
      <c r="K152" s="35" t="s">
        <v>55</v>
      </c>
      <c r="L152" s="35"/>
      <c r="M152" s="39"/>
      <c r="N152" s="39"/>
      <c r="O152" s="40"/>
      <c r="P152" s="41"/>
      <c r="Q152" s="41"/>
      <c r="R152" s="42">
        <f t="shared" si="14"/>
        <v>0</v>
      </c>
      <c r="S152" s="43">
        <f t="shared" si="15"/>
        <v>55</v>
      </c>
      <c r="T152" s="43" t="str">
        <f t="shared" si="16"/>
        <v/>
      </c>
      <c r="U152" s="42" t="str">
        <f t="shared" si="17"/>
        <v/>
      </c>
      <c r="V152" s="45">
        <f>(SUM($O$2:O152)-SUM($I$2:I152))</f>
        <v>-147.93999999999997</v>
      </c>
    </row>
    <row r="153" spans="1:22" x14ac:dyDescent="0.2">
      <c r="A153" s="44">
        <v>22</v>
      </c>
      <c r="B153" s="35" t="s">
        <v>82</v>
      </c>
      <c r="C153" s="36">
        <f t="shared" si="18"/>
        <v>46240</v>
      </c>
      <c r="D153" s="35" t="s">
        <v>37</v>
      </c>
      <c r="E153" s="37">
        <v>50</v>
      </c>
      <c r="F153" s="35" t="s">
        <v>28</v>
      </c>
      <c r="G153" s="35" t="s">
        <v>73</v>
      </c>
      <c r="H153" s="37">
        <v>65</v>
      </c>
      <c r="I153" s="38">
        <v>5</v>
      </c>
      <c r="J153" s="38" t="str">
        <f t="shared" si="19"/>
        <v>13:00</v>
      </c>
      <c r="K153" s="35" t="s">
        <v>30</v>
      </c>
      <c r="L153" s="35"/>
      <c r="M153" s="39"/>
      <c r="N153" s="39"/>
      <c r="O153" s="40"/>
      <c r="P153" s="41"/>
      <c r="Q153" s="41"/>
      <c r="R153" s="42">
        <f t="shared" si="14"/>
        <v>0</v>
      </c>
      <c r="S153" s="43">
        <f t="shared" si="15"/>
        <v>115</v>
      </c>
      <c r="T153" s="43" t="str">
        <f t="shared" si="16"/>
        <v/>
      </c>
      <c r="U153" s="42" t="str">
        <f t="shared" si="17"/>
        <v/>
      </c>
      <c r="V153" s="45">
        <f>(SUM($O$2:O153)-SUM($I$2:I153))</f>
        <v>-152.93999999999997</v>
      </c>
    </row>
    <row r="154" spans="1:22" x14ac:dyDescent="0.2">
      <c r="A154" s="44">
        <v>22</v>
      </c>
      <c r="B154" s="35" t="s">
        <v>82</v>
      </c>
      <c r="C154" s="36">
        <f t="shared" si="18"/>
        <v>46241</v>
      </c>
      <c r="D154" s="35" t="s">
        <v>40</v>
      </c>
      <c r="E154" s="37">
        <v>30</v>
      </c>
      <c r="F154" s="35" t="s">
        <v>32</v>
      </c>
      <c r="G154" s="35" t="s">
        <v>74</v>
      </c>
      <c r="H154" s="37">
        <v>20</v>
      </c>
      <c r="I154" s="38"/>
      <c r="J154" s="38" t="str">
        <f t="shared" si="19"/>
        <v/>
      </c>
      <c r="K154" s="35" t="s">
        <v>58</v>
      </c>
      <c r="L154" s="35"/>
      <c r="M154" s="39"/>
      <c r="N154" s="39"/>
      <c r="O154" s="40"/>
      <c r="P154" s="41"/>
      <c r="Q154" s="41"/>
      <c r="R154" s="42">
        <f t="shared" si="14"/>
        <v>0</v>
      </c>
      <c r="S154" s="43">
        <f t="shared" si="15"/>
        <v>50</v>
      </c>
      <c r="T154" s="43" t="str">
        <f t="shared" si="16"/>
        <v/>
      </c>
      <c r="U154" s="42" t="str">
        <f t="shared" si="17"/>
        <v/>
      </c>
      <c r="V154" s="45">
        <f>(SUM($O$2:O154)-SUM($I$2:I154))</f>
        <v>-152.93999999999997</v>
      </c>
    </row>
    <row r="155" spans="1:22" x14ac:dyDescent="0.2">
      <c r="A155" s="44">
        <v>22</v>
      </c>
      <c r="B155" s="35" t="s">
        <v>82</v>
      </c>
      <c r="C155" s="36">
        <f t="shared" si="18"/>
        <v>46242</v>
      </c>
      <c r="D155" s="35" t="s">
        <v>44</v>
      </c>
      <c r="E155" s="37">
        <v>20</v>
      </c>
      <c r="F155" s="35" t="s">
        <v>45</v>
      </c>
      <c r="G155" s="35" t="s">
        <v>75</v>
      </c>
      <c r="H155" s="37">
        <v>25</v>
      </c>
      <c r="I155" s="38">
        <v>1.2</v>
      </c>
      <c r="J155" s="38" t="str">
        <f t="shared" si="19"/>
        <v>20:50</v>
      </c>
      <c r="K155" s="35" t="s">
        <v>60</v>
      </c>
      <c r="L155" s="35"/>
      <c r="M155" s="39"/>
      <c r="N155" s="39"/>
      <c r="O155" s="40"/>
      <c r="P155" s="41"/>
      <c r="Q155" s="41"/>
      <c r="R155" s="42">
        <f t="shared" si="14"/>
        <v>0</v>
      </c>
      <c r="S155" s="43">
        <f t="shared" si="15"/>
        <v>45</v>
      </c>
      <c r="T155" s="43" t="str">
        <f t="shared" si="16"/>
        <v/>
      </c>
      <c r="U155" s="42" t="str">
        <f t="shared" si="17"/>
        <v/>
      </c>
      <c r="V155" s="45">
        <f>(SUM($O$2:O155)-SUM($I$2:I155))</f>
        <v>-154.13999999999996</v>
      </c>
    </row>
    <row r="156" spans="1:22" x14ac:dyDescent="0.2">
      <c r="A156" s="44">
        <v>23</v>
      </c>
      <c r="B156" s="35" t="s">
        <v>82</v>
      </c>
      <c r="C156" s="36">
        <f t="shared" si="18"/>
        <v>46243</v>
      </c>
      <c r="D156" s="35" t="s">
        <v>22</v>
      </c>
      <c r="E156" s="37">
        <v>60</v>
      </c>
      <c r="F156" s="35" t="s">
        <v>85</v>
      </c>
      <c r="G156" s="35" t="s">
        <v>86</v>
      </c>
      <c r="H156" s="37">
        <v>98</v>
      </c>
      <c r="I156" s="38">
        <v>7</v>
      </c>
      <c r="J156" s="38" t="str">
        <f t="shared" si="19"/>
        <v>14:00</v>
      </c>
      <c r="K156" s="35" t="s">
        <v>87</v>
      </c>
      <c r="L156" s="35"/>
      <c r="M156" s="39"/>
      <c r="N156" s="39"/>
      <c r="O156" s="40"/>
      <c r="P156" s="41"/>
      <c r="Q156" s="41"/>
      <c r="R156" s="42">
        <f t="shared" si="14"/>
        <v>0</v>
      </c>
      <c r="S156" s="43">
        <f t="shared" si="15"/>
        <v>158</v>
      </c>
      <c r="T156" s="43" t="str">
        <f t="shared" si="16"/>
        <v/>
      </c>
      <c r="U156" s="42" t="str">
        <f t="shared" si="17"/>
        <v/>
      </c>
      <c r="V156" s="45">
        <f>(SUM($O$2:O156)-SUM($I$2:I156))</f>
        <v>-161.13999999999996</v>
      </c>
    </row>
    <row r="157" spans="1:22" x14ac:dyDescent="0.2">
      <c r="A157" s="44">
        <v>23</v>
      </c>
      <c r="B157" s="35" t="s">
        <v>82</v>
      </c>
      <c r="C157" s="36">
        <f t="shared" si="18"/>
        <v>46244</v>
      </c>
      <c r="D157" s="35" t="s">
        <v>27</v>
      </c>
      <c r="E157" s="37">
        <v>0</v>
      </c>
      <c r="F157" s="35" t="s">
        <v>48</v>
      </c>
      <c r="G157" s="35" t="s">
        <v>51</v>
      </c>
      <c r="H157" s="37">
        <v>0</v>
      </c>
      <c r="I157" s="38">
        <v>0</v>
      </c>
      <c r="J157" s="38" t="str">
        <f t="shared" si="19"/>
        <v/>
      </c>
      <c r="K157" s="35" t="s">
        <v>39</v>
      </c>
      <c r="L157" s="35" t="s">
        <v>43</v>
      </c>
      <c r="M157" s="39"/>
      <c r="N157" s="39"/>
      <c r="O157" s="40"/>
      <c r="P157" s="41"/>
      <c r="Q157" s="41"/>
      <c r="R157" s="42">
        <f t="shared" si="14"/>
        <v>1</v>
      </c>
      <c r="S157" s="43">
        <f t="shared" si="15"/>
        <v>0</v>
      </c>
      <c r="T157" s="43" t="str">
        <f t="shared" si="16"/>
        <v/>
      </c>
      <c r="U157" s="42" t="str">
        <f t="shared" si="17"/>
        <v/>
      </c>
      <c r="V157" s="45">
        <f>(SUM($O$2:O157)-SUM($I$2:I157))</f>
        <v>-161.13999999999996</v>
      </c>
    </row>
    <row r="158" spans="1:22" x14ac:dyDescent="0.2">
      <c r="A158" s="44">
        <v>23</v>
      </c>
      <c r="B158" s="35" t="s">
        <v>82</v>
      </c>
      <c r="C158" s="36">
        <f t="shared" si="18"/>
        <v>46245</v>
      </c>
      <c r="D158" s="35" t="s">
        <v>31</v>
      </c>
      <c r="E158" s="37">
        <v>30</v>
      </c>
      <c r="F158" s="35" t="s">
        <v>28</v>
      </c>
      <c r="G158" s="35" t="s">
        <v>52</v>
      </c>
      <c r="H158" s="37">
        <v>30</v>
      </c>
      <c r="I158" s="38">
        <v>1.5</v>
      </c>
      <c r="J158" s="38" t="str">
        <f t="shared" si="19"/>
        <v>20:00</v>
      </c>
      <c r="K158" s="35" t="s">
        <v>53</v>
      </c>
      <c r="L158" s="35"/>
      <c r="M158" s="39"/>
      <c r="N158" s="39"/>
      <c r="O158" s="40"/>
      <c r="P158" s="41"/>
      <c r="Q158" s="41"/>
      <c r="R158" s="42">
        <f t="shared" si="14"/>
        <v>0</v>
      </c>
      <c r="S158" s="43">
        <f t="shared" si="15"/>
        <v>60</v>
      </c>
      <c r="T158" s="43" t="str">
        <f t="shared" si="16"/>
        <v/>
      </c>
      <c r="U158" s="42" t="str">
        <f t="shared" si="17"/>
        <v/>
      </c>
      <c r="V158" s="45">
        <f>(SUM($O$2:O158)-SUM($I$2:I158))</f>
        <v>-162.63999999999996</v>
      </c>
    </row>
    <row r="159" spans="1:22" x14ac:dyDescent="0.2">
      <c r="A159" s="44">
        <v>23</v>
      </c>
      <c r="B159" s="35" t="s">
        <v>82</v>
      </c>
      <c r="C159" s="36">
        <f t="shared" si="18"/>
        <v>46246</v>
      </c>
      <c r="D159" s="35" t="s">
        <v>35</v>
      </c>
      <c r="E159" s="37">
        <v>40</v>
      </c>
      <c r="F159" s="35" t="s">
        <v>32</v>
      </c>
      <c r="G159" s="35" t="s">
        <v>54</v>
      </c>
      <c r="H159" s="37">
        <v>25</v>
      </c>
      <c r="I159" s="38"/>
      <c r="J159" s="38" t="str">
        <f t="shared" si="19"/>
        <v/>
      </c>
      <c r="K159" s="35" t="s">
        <v>55</v>
      </c>
      <c r="L159" s="35"/>
      <c r="M159" s="39"/>
      <c r="N159" s="39"/>
      <c r="O159" s="40"/>
      <c r="P159" s="41"/>
      <c r="Q159" s="41"/>
      <c r="R159" s="42">
        <f t="shared" si="14"/>
        <v>0</v>
      </c>
      <c r="S159" s="43">
        <f t="shared" si="15"/>
        <v>65</v>
      </c>
      <c r="T159" s="43" t="str">
        <f t="shared" si="16"/>
        <v/>
      </c>
      <c r="U159" s="42" t="str">
        <f t="shared" si="17"/>
        <v/>
      </c>
      <c r="V159" s="45">
        <f>(SUM($O$2:O159)-SUM($I$2:I159))</f>
        <v>-162.63999999999996</v>
      </c>
    </row>
    <row r="160" spans="1:22" x14ac:dyDescent="0.2">
      <c r="A160" s="44">
        <v>23</v>
      </c>
      <c r="B160" s="35" t="s">
        <v>82</v>
      </c>
      <c r="C160" s="36">
        <f t="shared" si="18"/>
        <v>46247</v>
      </c>
      <c r="D160" s="35" t="s">
        <v>37</v>
      </c>
      <c r="E160" s="37">
        <v>40</v>
      </c>
      <c r="F160" s="35" t="s">
        <v>28</v>
      </c>
      <c r="G160" s="35" t="s">
        <v>56</v>
      </c>
      <c r="H160" s="37">
        <v>65</v>
      </c>
      <c r="I160" s="38">
        <v>5.5</v>
      </c>
      <c r="J160" s="38" t="str">
        <f t="shared" si="19"/>
        <v>11:49</v>
      </c>
      <c r="K160" s="35" t="s">
        <v>30</v>
      </c>
      <c r="L160" s="35"/>
      <c r="M160" s="39"/>
      <c r="N160" s="39"/>
      <c r="O160" s="40"/>
      <c r="P160" s="41"/>
      <c r="Q160" s="41"/>
      <c r="R160" s="42">
        <f t="shared" si="14"/>
        <v>0</v>
      </c>
      <c r="S160" s="43">
        <f t="shared" si="15"/>
        <v>105</v>
      </c>
      <c r="T160" s="43" t="str">
        <f t="shared" si="16"/>
        <v/>
      </c>
      <c r="U160" s="42" t="str">
        <f t="shared" si="17"/>
        <v/>
      </c>
      <c r="V160" s="45">
        <f>(SUM($O$2:O160)-SUM($I$2:I160))</f>
        <v>-168.13999999999996</v>
      </c>
    </row>
    <row r="161" spans="1:22" x14ac:dyDescent="0.2">
      <c r="A161" s="44">
        <v>23</v>
      </c>
      <c r="B161" s="35" t="s">
        <v>82</v>
      </c>
      <c r="C161" s="36">
        <f t="shared" si="18"/>
        <v>46248</v>
      </c>
      <c r="D161" s="35" t="s">
        <v>40</v>
      </c>
      <c r="E161" s="37">
        <v>50</v>
      </c>
      <c r="F161" s="35" t="s">
        <v>23</v>
      </c>
      <c r="G161" s="35" t="s">
        <v>57</v>
      </c>
      <c r="H161" s="37">
        <v>20</v>
      </c>
      <c r="I161" s="38"/>
      <c r="J161" s="38" t="str">
        <f t="shared" si="19"/>
        <v/>
      </c>
      <c r="K161" s="35" t="s">
        <v>58</v>
      </c>
      <c r="L161" s="35"/>
      <c r="M161" s="39"/>
      <c r="N161" s="39"/>
      <c r="O161" s="40"/>
      <c r="P161" s="41"/>
      <c r="Q161" s="41"/>
      <c r="R161" s="42">
        <f t="shared" si="14"/>
        <v>0</v>
      </c>
      <c r="S161" s="43">
        <f t="shared" si="15"/>
        <v>70</v>
      </c>
      <c r="T161" s="43" t="str">
        <f t="shared" si="16"/>
        <v/>
      </c>
      <c r="U161" s="42" t="str">
        <f t="shared" si="17"/>
        <v/>
      </c>
      <c r="V161" s="45">
        <f>(SUM($O$2:O161)-SUM($I$2:I161))</f>
        <v>-168.13999999999996</v>
      </c>
    </row>
    <row r="162" spans="1:22" x14ac:dyDescent="0.2">
      <c r="A162" s="44">
        <v>23</v>
      </c>
      <c r="B162" s="35" t="s">
        <v>82</v>
      </c>
      <c r="C162" s="36">
        <f t="shared" si="18"/>
        <v>46249</v>
      </c>
      <c r="D162" s="35" t="s">
        <v>44</v>
      </c>
      <c r="E162" s="37">
        <v>15</v>
      </c>
      <c r="F162" s="35" t="s">
        <v>45</v>
      </c>
      <c r="G162" s="35" t="s">
        <v>59</v>
      </c>
      <c r="H162" s="37">
        <v>25</v>
      </c>
      <c r="I162" s="38">
        <v>1.2</v>
      </c>
      <c r="J162" s="38" t="str">
        <f t="shared" si="19"/>
        <v>20:50</v>
      </c>
      <c r="K162" s="35" t="s">
        <v>60</v>
      </c>
      <c r="L162" s="35"/>
      <c r="M162" s="39"/>
      <c r="N162" s="39"/>
      <c r="O162" s="40"/>
      <c r="P162" s="41"/>
      <c r="Q162" s="41"/>
      <c r="R162" s="42">
        <f t="shared" si="14"/>
        <v>0</v>
      </c>
      <c r="S162" s="43">
        <f t="shared" si="15"/>
        <v>40</v>
      </c>
      <c r="T162" s="43" t="str">
        <f t="shared" si="16"/>
        <v/>
      </c>
      <c r="U162" s="42" t="str">
        <f t="shared" si="17"/>
        <v/>
      </c>
      <c r="V162" s="45">
        <f>(SUM($O$2:O162)-SUM($I$2:I162))</f>
        <v>-169.33999999999995</v>
      </c>
    </row>
    <row r="163" spans="1:22" x14ac:dyDescent="0.2">
      <c r="A163" s="44">
        <v>24</v>
      </c>
      <c r="B163" s="35" t="s">
        <v>82</v>
      </c>
      <c r="C163" s="36">
        <f t="shared" si="18"/>
        <v>46250</v>
      </c>
      <c r="D163" s="35" t="s">
        <v>22</v>
      </c>
      <c r="E163" s="37">
        <v>50</v>
      </c>
      <c r="F163" s="35" t="s">
        <v>85</v>
      </c>
      <c r="G163" s="35" t="s">
        <v>86</v>
      </c>
      <c r="H163" s="37">
        <v>112</v>
      </c>
      <c r="I163" s="38">
        <v>8</v>
      </c>
      <c r="J163" s="38" t="str">
        <f t="shared" si="19"/>
        <v>14:00</v>
      </c>
      <c r="K163" s="35" t="s">
        <v>87</v>
      </c>
      <c r="L163" s="35"/>
      <c r="M163" s="39"/>
      <c r="N163" s="39"/>
      <c r="O163" s="40"/>
      <c r="P163" s="41"/>
      <c r="Q163" s="41"/>
      <c r="R163" s="42">
        <f t="shared" si="14"/>
        <v>0</v>
      </c>
      <c r="S163" s="43">
        <f t="shared" si="15"/>
        <v>162</v>
      </c>
      <c r="T163" s="43" t="str">
        <f t="shared" si="16"/>
        <v/>
      </c>
      <c r="U163" s="42" t="str">
        <f t="shared" si="17"/>
        <v/>
      </c>
      <c r="V163" s="45">
        <f>(SUM($O$2:O163)-SUM($I$2:I163))</f>
        <v>-177.33999999999995</v>
      </c>
    </row>
    <row r="164" spans="1:22" x14ac:dyDescent="0.2">
      <c r="A164" s="44">
        <v>24</v>
      </c>
      <c r="B164" s="35" t="s">
        <v>82</v>
      </c>
      <c r="C164" s="36">
        <f t="shared" si="18"/>
        <v>46251</v>
      </c>
      <c r="D164" s="35" t="s">
        <v>27</v>
      </c>
      <c r="E164" s="37">
        <v>0</v>
      </c>
      <c r="F164" s="35" t="s">
        <v>48</v>
      </c>
      <c r="G164" s="35" t="s">
        <v>51</v>
      </c>
      <c r="H164" s="37">
        <v>0</v>
      </c>
      <c r="I164" s="38">
        <v>0</v>
      </c>
      <c r="J164" s="38" t="str">
        <f t="shared" si="19"/>
        <v/>
      </c>
      <c r="K164" s="35" t="s">
        <v>39</v>
      </c>
      <c r="L164" s="35" t="s">
        <v>43</v>
      </c>
      <c r="M164" s="39"/>
      <c r="N164" s="39"/>
      <c r="O164" s="40"/>
      <c r="P164" s="41"/>
      <c r="Q164" s="41"/>
      <c r="R164" s="42">
        <f t="shared" si="14"/>
        <v>1</v>
      </c>
      <c r="S164" s="43">
        <f t="shared" si="15"/>
        <v>0</v>
      </c>
      <c r="T164" s="43" t="str">
        <f t="shared" si="16"/>
        <v/>
      </c>
      <c r="U164" s="42" t="str">
        <f t="shared" si="17"/>
        <v/>
      </c>
      <c r="V164" s="45">
        <f>(SUM($O$2:O164)-SUM($I$2:I164))</f>
        <v>-177.33999999999995</v>
      </c>
    </row>
    <row r="165" spans="1:22" x14ac:dyDescent="0.2">
      <c r="A165" s="44">
        <v>24</v>
      </c>
      <c r="B165" s="35" t="s">
        <v>82</v>
      </c>
      <c r="C165" s="36">
        <f t="shared" si="18"/>
        <v>46252</v>
      </c>
      <c r="D165" s="35" t="s">
        <v>31</v>
      </c>
      <c r="E165" s="37">
        <v>40</v>
      </c>
      <c r="F165" s="35" t="s">
        <v>23</v>
      </c>
      <c r="G165" s="35" t="s">
        <v>61</v>
      </c>
      <c r="H165" s="37">
        <v>30</v>
      </c>
      <c r="I165" s="38"/>
      <c r="J165" s="38" t="str">
        <f t="shared" si="19"/>
        <v/>
      </c>
      <c r="K165" s="35" t="s">
        <v>53</v>
      </c>
      <c r="L165" s="35"/>
      <c r="M165" s="39"/>
      <c r="N165" s="39"/>
      <c r="O165" s="40"/>
      <c r="P165" s="41"/>
      <c r="Q165" s="41"/>
      <c r="R165" s="42">
        <f t="shared" si="14"/>
        <v>0</v>
      </c>
      <c r="S165" s="43">
        <f t="shared" si="15"/>
        <v>70</v>
      </c>
      <c r="T165" s="43" t="str">
        <f t="shared" si="16"/>
        <v/>
      </c>
      <c r="U165" s="42" t="str">
        <f t="shared" si="17"/>
        <v/>
      </c>
      <c r="V165" s="45">
        <f>(SUM($O$2:O165)-SUM($I$2:I165))</f>
        <v>-177.33999999999995</v>
      </c>
    </row>
    <row r="166" spans="1:22" x14ac:dyDescent="0.2">
      <c r="A166" s="44">
        <v>24</v>
      </c>
      <c r="B166" s="35" t="s">
        <v>82</v>
      </c>
      <c r="C166" s="36">
        <f t="shared" si="18"/>
        <v>46253</v>
      </c>
      <c r="D166" s="35" t="s">
        <v>35</v>
      </c>
      <c r="E166" s="37">
        <v>50</v>
      </c>
      <c r="F166" s="35" t="s">
        <v>23</v>
      </c>
      <c r="G166" s="35" t="s">
        <v>24</v>
      </c>
      <c r="H166" s="37">
        <v>30</v>
      </c>
      <c r="I166" s="38"/>
      <c r="J166" s="38" t="str">
        <f t="shared" si="19"/>
        <v/>
      </c>
      <c r="K166" s="35" t="s">
        <v>55</v>
      </c>
      <c r="L166" s="35"/>
      <c r="M166" s="39"/>
      <c r="N166" s="39"/>
      <c r="O166" s="40"/>
      <c r="P166" s="41"/>
      <c r="Q166" s="41"/>
      <c r="R166" s="42">
        <f t="shared" si="14"/>
        <v>0</v>
      </c>
      <c r="S166" s="43">
        <f t="shared" si="15"/>
        <v>80</v>
      </c>
      <c r="T166" s="43" t="str">
        <f t="shared" si="16"/>
        <v/>
      </c>
      <c r="U166" s="42" t="str">
        <f t="shared" si="17"/>
        <v/>
      </c>
      <c r="V166" s="45">
        <f>(SUM($O$2:O166)-SUM($I$2:I166))</f>
        <v>-177.33999999999995</v>
      </c>
    </row>
    <row r="167" spans="1:22" x14ac:dyDescent="0.2">
      <c r="A167" s="44">
        <v>24</v>
      </c>
      <c r="B167" s="35" t="s">
        <v>82</v>
      </c>
      <c r="C167" s="36">
        <f t="shared" si="18"/>
        <v>46254</v>
      </c>
      <c r="D167" s="35" t="s">
        <v>37</v>
      </c>
      <c r="E167" s="37">
        <v>30</v>
      </c>
      <c r="F167" s="35" t="s">
        <v>28</v>
      </c>
      <c r="G167" s="35" t="s">
        <v>62</v>
      </c>
      <c r="H167" s="37">
        <v>65</v>
      </c>
      <c r="I167" s="38">
        <v>5.5</v>
      </c>
      <c r="J167" s="38" t="str">
        <f t="shared" si="19"/>
        <v>11:49</v>
      </c>
      <c r="K167" s="35" t="s">
        <v>30</v>
      </c>
      <c r="L167" s="35"/>
      <c r="M167" s="39"/>
      <c r="N167" s="39"/>
      <c r="O167" s="40"/>
      <c r="P167" s="41"/>
      <c r="Q167" s="41"/>
      <c r="R167" s="42">
        <f t="shared" si="14"/>
        <v>0</v>
      </c>
      <c r="S167" s="43">
        <f t="shared" si="15"/>
        <v>95</v>
      </c>
      <c r="T167" s="43" t="str">
        <f t="shared" si="16"/>
        <v/>
      </c>
      <c r="U167" s="42" t="str">
        <f t="shared" si="17"/>
        <v/>
      </c>
      <c r="V167" s="45">
        <f>(SUM($O$2:O167)-SUM($I$2:I167))</f>
        <v>-182.83999999999995</v>
      </c>
    </row>
    <row r="168" spans="1:22" x14ac:dyDescent="0.2">
      <c r="A168" s="44">
        <v>24</v>
      </c>
      <c r="B168" s="35" t="s">
        <v>82</v>
      </c>
      <c r="C168" s="36">
        <f t="shared" si="18"/>
        <v>46255</v>
      </c>
      <c r="D168" s="35" t="s">
        <v>40</v>
      </c>
      <c r="E168" s="37">
        <v>60</v>
      </c>
      <c r="F168" s="35" t="s">
        <v>32</v>
      </c>
      <c r="G168" s="35" t="s">
        <v>63</v>
      </c>
      <c r="H168" s="37">
        <v>20</v>
      </c>
      <c r="I168" s="38"/>
      <c r="J168" s="38" t="str">
        <f t="shared" si="19"/>
        <v/>
      </c>
      <c r="K168" s="35" t="s">
        <v>58</v>
      </c>
      <c r="L168" s="35"/>
      <c r="M168" s="39"/>
      <c r="N168" s="39"/>
      <c r="O168" s="40"/>
      <c r="P168" s="41"/>
      <c r="Q168" s="41"/>
      <c r="R168" s="42">
        <f t="shared" si="14"/>
        <v>0</v>
      </c>
      <c r="S168" s="43">
        <f t="shared" si="15"/>
        <v>80</v>
      </c>
      <c r="T168" s="43" t="str">
        <f t="shared" si="16"/>
        <v/>
      </c>
      <c r="U168" s="42" t="str">
        <f t="shared" si="17"/>
        <v/>
      </c>
      <c r="V168" s="45">
        <f>(SUM($O$2:O168)-SUM($I$2:I168))</f>
        <v>-182.83999999999995</v>
      </c>
    </row>
    <row r="169" spans="1:22" x14ac:dyDescent="0.2">
      <c r="A169" s="44">
        <v>24</v>
      </c>
      <c r="B169" s="35" t="s">
        <v>82</v>
      </c>
      <c r="C169" s="36">
        <f t="shared" si="18"/>
        <v>46256</v>
      </c>
      <c r="D169" s="35" t="s">
        <v>44</v>
      </c>
      <c r="E169" s="37">
        <v>20</v>
      </c>
      <c r="F169" s="35" t="s">
        <v>45</v>
      </c>
      <c r="G169" s="35" t="s">
        <v>64</v>
      </c>
      <c r="H169" s="37">
        <v>25</v>
      </c>
      <c r="I169" s="38">
        <v>1.2</v>
      </c>
      <c r="J169" s="38" t="str">
        <f t="shared" si="19"/>
        <v>20:50</v>
      </c>
      <c r="K169" s="35" t="s">
        <v>60</v>
      </c>
      <c r="L169" s="35"/>
      <c r="M169" s="39"/>
      <c r="N169" s="39"/>
      <c r="O169" s="40"/>
      <c r="P169" s="41"/>
      <c r="Q169" s="41"/>
      <c r="R169" s="42">
        <f t="shared" si="14"/>
        <v>0</v>
      </c>
      <c r="S169" s="43">
        <f t="shared" si="15"/>
        <v>45</v>
      </c>
      <c r="T169" s="43" t="str">
        <f t="shared" si="16"/>
        <v/>
      </c>
      <c r="U169" s="42" t="str">
        <f t="shared" si="17"/>
        <v/>
      </c>
      <c r="V169" s="45">
        <f>(SUM($O$2:O169)-SUM($I$2:I169))</f>
        <v>-184.03999999999994</v>
      </c>
    </row>
    <row r="170" spans="1:22" x14ac:dyDescent="0.2">
      <c r="A170" s="44">
        <v>25</v>
      </c>
      <c r="B170" s="35" t="s">
        <v>88</v>
      </c>
      <c r="C170" s="36">
        <f t="shared" si="18"/>
        <v>46257</v>
      </c>
      <c r="D170" s="35" t="s">
        <v>22</v>
      </c>
      <c r="E170" s="37">
        <v>40</v>
      </c>
      <c r="F170" s="35" t="s">
        <v>85</v>
      </c>
      <c r="G170" s="35" t="s">
        <v>89</v>
      </c>
      <c r="H170" s="37">
        <v>110</v>
      </c>
      <c r="I170" s="38">
        <v>8</v>
      </c>
      <c r="J170" s="38" t="str">
        <f t="shared" si="19"/>
        <v>13:45</v>
      </c>
      <c r="K170" s="35" t="s">
        <v>87</v>
      </c>
      <c r="L170" s="35"/>
      <c r="M170" s="39"/>
      <c r="N170" s="39"/>
      <c r="O170" s="40"/>
      <c r="P170" s="41"/>
      <c r="Q170" s="41"/>
      <c r="R170" s="42">
        <f t="shared" si="14"/>
        <v>0</v>
      </c>
      <c r="S170" s="43">
        <f t="shared" si="15"/>
        <v>150</v>
      </c>
      <c r="T170" s="43" t="str">
        <f t="shared" si="16"/>
        <v/>
      </c>
      <c r="U170" s="42" t="str">
        <f t="shared" si="17"/>
        <v/>
      </c>
      <c r="V170" s="45">
        <f>(SUM($O$2:O170)-SUM($I$2:I170))</f>
        <v>-192.03999999999994</v>
      </c>
    </row>
    <row r="171" spans="1:22" x14ac:dyDescent="0.2">
      <c r="A171" s="44">
        <v>25</v>
      </c>
      <c r="B171" s="35" t="s">
        <v>88</v>
      </c>
      <c r="C171" s="36">
        <f t="shared" si="18"/>
        <v>46258</v>
      </c>
      <c r="D171" s="35" t="s">
        <v>27</v>
      </c>
      <c r="E171" s="37">
        <v>0</v>
      </c>
      <c r="F171" s="35" t="s">
        <v>48</v>
      </c>
      <c r="G171" s="35" t="s">
        <v>51</v>
      </c>
      <c r="H171" s="37">
        <v>0</v>
      </c>
      <c r="I171" s="38">
        <v>0</v>
      </c>
      <c r="J171" s="38" t="str">
        <f t="shared" si="19"/>
        <v/>
      </c>
      <c r="K171" s="35" t="s">
        <v>39</v>
      </c>
      <c r="L171" s="35" t="s">
        <v>43</v>
      </c>
      <c r="M171" s="39"/>
      <c r="N171" s="39"/>
      <c r="O171" s="40"/>
      <c r="P171" s="41"/>
      <c r="Q171" s="41"/>
      <c r="R171" s="42">
        <f t="shared" si="14"/>
        <v>1</v>
      </c>
      <c r="S171" s="43">
        <f t="shared" si="15"/>
        <v>0</v>
      </c>
      <c r="T171" s="43" t="str">
        <f t="shared" si="16"/>
        <v/>
      </c>
      <c r="U171" s="42" t="str">
        <f t="shared" si="17"/>
        <v/>
      </c>
      <c r="V171" s="45">
        <f>(SUM($O$2:O171)-SUM($I$2:I171))</f>
        <v>-192.03999999999994</v>
      </c>
    </row>
    <row r="172" spans="1:22" x14ac:dyDescent="0.2">
      <c r="A172" s="44">
        <v>25</v>
      </c>
      <c r="B172" s="35" t="s">
        <v>88</v>
      </c>
      <c r="C172" s="36">
        <f t="shared" si="18"/>
        <v>46259</v>
      </c>
      <c r="D172" s="35" t="s">
        <v>31</v>
      </c>
      <c r="E172" s="37">
        <v>50</v>
      </c>
      <c r="F172" s="35" t="s">
        <v>32</v>
      </c>
      <c r="G172" s="35" t="s">
        <v>66</v>
      </c>
      <c r="H172" s="37">
        <v>25</v>
      </c>
      <c r="I172" s="38"/>
      <c r="J172" s="38" t="str">
        <f t="shared" si="19"/>
        <v/>
      </c>
      <c r="K172" s="35" t="s">
        <v>53</v>
      </c>
      <c r="L172" s="35"/>
      <c r="M172" s="39"/>
      <c r="N172" s="39"/>
      <c r="O172" s="40"/>
      <c r="P172" s="41"/>
      <c r="Q172" s="41"/>
      <c r="R172" s="42">
        <f t="shared" si="14"/>
        <v>0</v>
      </c>
      <c r="S172" s="43">
        <f t="shared" si="15"/>
        <v>75</v>
      </c>
      <c r="T172" s="43" t="str">
        <f t="shared" si="16"/>
        <v/>
      </c>
      <c r="U172" s="42" t="str">
        <f t="shared" si="17"/>
        <v/>
      </c>
      <c r="V172" s="45">
        <f>(SUM($O$2:O172)-SUM($I$2:I172))</f>
        <v>-192.03999999999994</v>
      </c>
    </row>
    <row r="173" spans="1:22" x14ac:dyDescent="0.2">
      <c r="A173" s="44">
        <v>25</v>
      </c>
      <c r="B173" s="35" t="s">
        <v>88</v>
      </c>
      <c r="C173" s="36">
        <f t="shared" si="18"/>
        <v>46260</v>
      </c>
      <c r="D173" s="35" t="s">
        <v>35</v>
      </c>
      <c r="E173" s="37">
        <v>60</v>
      </c>
      <c r="F173" s="35" t="s">
        <v>32</v>
      </c>
      <c r="G173" s="35" t="s">
        <v>67</v>
      </c>
      <c r="H173" s="37">
        <v>30</v>
      </c>
      <c r="I173" s="38"/>
      <c r="J173" s="38" t="str">
        <f t="shared" si="19"/>
        <v/>
      </c>
      <c r="K173" s="35" t="s">
        <v>55</v>
      </c>
      <c r="L173" s="35"/>
      <c r="M173" s="39"/>
      <c r="N173" s="39"/>
      <c r="O173" s="40"/>
      <c r="P173" s="41"/>
      <c r="Q173" s="41"/>
      <c r="R173" s="42">
        <f t="shared" si="14"/>
        <v>0</v>
      </c>
      <c r="S173" s="43">
        <f t="shared" si="15"/>
        <v>90</v>
      </c>
      <c r="T173" s="43" t="str">
        <f t="shared" si="16"/>
        <v/>
      </c>
      <c r="U173" s="42" t="str">
        <f t="shared" si="17"/>
        <v/>
      </c>
      <c r="V173" s="45">
        <f>(SUM($O$2:O173)-SUM($I$2:I173))</f>
        <v>-192.03999999999994</v>
      </c>
    </row>
    <row r="174" spans="1:22" x14ac:dyDescent="0.2">
      <c r="A174" s="44">
        <v>25</v>
      </c>
      <c r="B174" s="35" t="s">
        <v>88</v>
      </c>
      <c r="C174" s="36">
        <f t="shared" si="18"/>
        <v>46261</v>
      </c>
      <c r="D174" s="35" t="s">
        <v>37</v>
      </c>
      <c r="E174" s="37">
        <v>15</v>
      </c>
      <c r="F174" s="35" t="s">
        <v>28</v>
      </c>
      <c r="G174" s="35" t="s">
        <v>68</v>
      </c>
      <c r="H174" s="37">
        <v>53</v>
      </c>
      <c r="I174" s="38">
        <v>4</v>
      </c>
      <c r="J174" s="38" t="str">
        <f t="shared" si="19"/>
        <v>13:15</v>
      </c>
      <c r="K174" s="35" t="s">
        <v>30</v>
      </c>
      <c r="L174" s="35"/>
      <c r="M174" s="39"/>
      <c r="N174" s="39"/>
      <c r="O174" s="40"/>
      <c r="P174" s="41"/>
      <c r="Q174" s="41"/>
      <c r="R174" s="42">
        <f t="shared" si="14"/>
        <v>0</v>
      </c>
      <c r="S174" s="43">
        <f t="shared" si="15"/>
        <v>68</v>
      </c>
      <c r="T174" s="43" t="str">
        <f t="shared" si="16"/>
        <v/>
      </c>
      <c r="U174" s="42" t="str">
        <f t="shared" si="17"/>
        <v/>
      </c>
      <c r="V174" s="45">
        <f>(SUM($O$2:O174)-SUM($I$2:I174))</f>
        <v>-196.03999999999994</v>
      </c>
    </row>
    <row r="175" spans="1:22" x14ac:dyDescent="0.2">
      <c r="A175" s="44">
        <v>25</v>
      </c>
      <c r="B175" s="35" t="s">
        <v>88</v>
      </c>
      <c r="C175" s="36">
        <f t="shared" si="18"/>
        <v>46262</v>
      </c>
      <c r="D175" s="35" t="s">
        <v>40</v>
      </c>
      <c r="E175" s="37">
        <v>40</v>
      </c>
      <c r="F175" s="35" t="s">
        <v>23</v>
      </c>
      <c r="G175" s="35" t="s">
        <v>69</v>
      </c>
      <c r="H175" s="37">
        <v>25</v>
      </c>
      <c r="I175" s="38"/>
      <c r="J175" s="38" t="str">
        <f t="shared" si="19"/>
        <v/>
      </c>
      <c r="K175" s="35" t="s">
        <v>58</v>
      </c>
      <c r="L175" s="35"/>
      <c r="M175" s="39"/>
      <c r="N175" s="39"/>
      <c r="O175" s="40"/>
      <c r="P175" s="41"/>
      <c r="Q175" s="41"/>
      <c r="R175" s="42">
        <f t="shared" si="14"/>
        <v>0</v>
      </c>
      <c r="S175" s="43">
        <f t="shared" si="15"/>
        <v>65</v>
      </c>
      <c r="T175" s="43" t="str">
        <f t="shared" si="16"/>
        <v/>
      </c>
      <c r="U175" s="42" t="str">
        <f t="shared" si="17"/>
        <v/>
      </c>
      <c r="V175" s="45">
        <f>(SUM($O$2:O175)-SUM($I$2:I175))</f>
        <v>-196.03999999999994</v>
      </c>
    </row>
    <row r="176" spans="1:22" x14ac:dyDescent="0.2">
      <c r="A176" s="44">
        <v>25</v>
      </c>
      <c r="B176" s="35" t="s">
        <v>88</v>
      </c>
      <c r="C176" s="36">
        <f t="shared" si="18"/>
        <v>46263</v>
      </c>
      <c r="D176" s="35" t="s">
        <v>44</v>
      </c>
      <c r="E176" s="37">
        <v>15</v>
      </c>
      <c r="F176" s="35" t="s">
        <v>28</v>
      </c>
      <c r="G176" s="35" t="s">
        <v>70</v>
      </c>
      <c r="H176" s="37">
        <v>30</v>
      </c>
      <c r="I176" s="38">
        <v>1.5</v>
      </c>
      <c r="J176" s="38" t="str">
        <f t="shared" si="19"/>
        <v>20:00</v>
      </c>
      <c r="K176" s="35" t="s">
        <v>60</v>
      </c>
      <c r="L176" s="35"/>
      <c r="M176" s="39"/>
      <c r="N176" s="39"/>
      <c r="O176" s="40"/>
      <c r="P176" s="41"/>
      <c r="Q176" s="41"/>
      <c r="R176" s="42">
        <f t="shared" si="14"/>
        <v>0</v>
      </c>
      <c r="S176" s="43">
        <f t="shared" si="15"/>
        <v>45</v>
      </c>
      <c r="T176" s="43" t="str">
        <f t="shared" si="16"/>
        <v/>
      </c>
      <c r="U176" s="42" t="str">
        <f t="shared" si="17"/>
        <v/>
      </c>
      <c r="V176" s="45">
        <f>(SUM($O$2:O176)-SUM($I$2:I176))</f>
        <v>-197.53999999999994</v>
      </c>
    </row>
    <row r="177" spans="1:22" x14ac:dyDescent="0.2">
      <c r="A177" s="44">
        <v>26</v>
      </c>
      <c r="B177" s="35" t="s">
        <v>88</v>
      </c>
      <c r="C177" s="36">
        <f t="shared" si="18"/>
        <v>46264</v>
      </c>
      <c r="D177" s="35" t="s">
        <v>22</v>
      </c>
      <c r="E177" s="37">
        <v>60</v>
      </c>
      <c r="F177" s="35" t="s">
        <v>85</v>
      </c>
      <c r="G177" s="35" t="s">
        <v>89</v>
      </c>
      <c r="H177" s="37">
        <v>124</v>
      </c>
      <c r="I177" s="38">
        <v>9</v>
      </c>
      <c r="J177" s="38" t="str">
        <f t="shared" si="19"/>
        <v>13:47</v>
      </c>
      <c r="K177" s="35" t="s">
        <v>87</v>
      </c>
      <c r="L177" s="35"/>
      <c r="M177" s="39"/>
      <c r="N177" s="39"/>
      <c r="O177" s="40"/>
      <c r="P177" s="41"/>
      <c r="Q177" s="41"/>
      <c r="R177" s="42">
        <f t="shared" si="14"/>
        <v>0</v>
      </c>
      <c r="S177" s="43">
        <f t="shared" si="15"/>
        <v>184</v>
      </c>
      <c r="T177" s="43" t="str">
        <f t="shared" si="16"/>
        <v/>
      </c>
      <c r="U177" s="42" t="str">
        <f t="shared" si="17"/>
        <v/>
      </c>
      <c r="V177" s="45">
        <f>(SUM($O$2:O177)-SUM($I$2:I177))</f>
        <v>-206.53999999999994</v>
      </c>
    </row>
    <row r="178" spans="1:22" x14ac:dyDescent="0.2">
      <c r="A178" s="44">
        <v>26</v>
      </c>
      <c r="B178" s="35" t="s">
        <v>88</v>
      </c>
      <c r="C178" s="36">
        <f t="shared" si="18"/>
        <v>46265</v>
      </c>
      <c r="D178" s="35" t="s">
        <v>27</v>
      </c>
      <c r="E178" s="37">
        <v>0</v>
      </c>
      <c r="F178" s="35" t="s">
        <v>48</v>
      </c>
      <c r="G178" s="35" t="s">
        <v>51</v>
      </c>
      <c r="H178" s="37">
        <v>0</v>
      </c>
      <c r="I178" s="38">
        <v>0</v>
      </c>
      <c r="J178" s="38" t="str">
        <f t="shared" si="19"/>
        <v/>
      </c>
      <c r="K178" s="35" t="s">
        <v>39</v>
      </c>
      <c r="L178" s="35" t="s">
        <v>43</v>
      </c>
      <c r="M178" s="39"/>
      <c r="N178" s="39"/>
      <c r="O178" s="40"/>
      <c r="P178" s="41"/>
      <c r="Q178" s="41"/>
      <c r="R178" s="42">
        <f t="shared" si="14"/>
        <v>1</v>
      </c>
      <c r="S178" s="43">
        <f t="shared" si="15"/>
        <v>0</v>
      </c>
      <c r="T178" s="43" t="str">
        <f t="shared" si="16"/>
        <v/>
      </c>
      <c r="U178" s="42" t="str">
        <f t="shared" si="17"/>
        <v/>
      </c>
      <c r="V178" s="45">
        <f>(SUM($O$2:O178)-SUM($I$2:I178))</f>
        <v>-206.53999999999994</v>
      </c>
    </row>
    <row r="179" spans="1:22" x14ac:dyDescent="0.2">
      <c r="A179" s="44">
        <v>26</v>
      </c>
      <c r="B179" s="35" t="s">
        <v>88</v>
      </c>
      <c r="C179" s="36">
        <f t="shared" si="18"/>
        <v>46266</v>
      </c>
      <c r="D179" s="35" t="s">
        <v>31</v>
      </c>
      <c r="E179" s="37">
        <v>60</v>
      </c>
      <c r="F179" s="35" t="s">
        <v>28</v>
      </c>
      <c r="G179" s="35" t="s">
        <v>71</v>
      </c>
      <c r="H179" s="37">
        <v>35</v>
      </c>
      <c r="I179" s="38">
        <v>1.8</v>
      </c>
      <c r="J179" s="38" t="str">
        <f t="shared" si="19"/>
        <v>19:27</v>
      </c>
      <c r="K179" s="35" t="s">
        <v>53</v>
      </c>
      <c r="L179" s="35"/>
      <c r="M179" s="39"/>
      <c r="N179" s="39"/>
      <c r="O179" s="40"/>
      <c r="P179" s="41"/>
      <c r="Q179" s="41"/>
      <c r="R179" s="42">
        <f t="shared" si="14"/>
        <v>0</v>
      </c>
      <c r="S179" s="43">
        <f t="shared" si="15"/>
        <v>95</v>
      </c>
      <c r="T179" s="43" t="str">
        <f t="shared" si="16"/>
        <v/>
      </c>
      <c r="U179" s="42" t="str">
        <f t="shared" si="17"/>
        <v/>
      </c>
      <c r="V179" s="45">
        <f>(SUM($O$2:O179)-SUM($I$2:I179))</f>
        <v>-208.33999999999995</v>
      </c>
    </row>
    <row r="180" spans="1:22" x14ac:dyDescent="0.2">
      <c r="A180" s="44">
        <v>26</v>
      </c>
      <c r="B180" s="35" t="s">
        <v>88</v>
      </c>
      <c r="C180" s="36">
        <f t="shared" si="18"/>
        <v>46267</v>
      </c>
      <c r="D180" s="35" t="s">
        <v>35</v>
      </c>
      <c r="E180" s="37">
        <v>30</v>
      </c>
      <c r="F180" s="35" t="s">
        <v>23</v>
      </c>
      <c r="G180" s="35" t="s">
        <v>72</v>
      </c>
      <c r="H180" s="37">
        <v>25</v>
      </c>
      <c r="I180" s="38"/>
      <c r="J180" s="38" t="str">
        <f t="shared" si="19"/>
        <v/>
      </c>
      <c r="K180" s="35" t="s">
        <v>55</v>
      </c>
      <c r="L180" s="35"/>
      <c r="M180" s="39"/>
      <c r="N180" s="39"/>
      <c r="O180" s="40"/>
      <c r="P180" s="41"/>
      <c r="Q180" s="41"/>
      <c r="R180" s="42">
        <f t="shared" si="14"/>
        <v>0</v>
      </c>
      <c r="S180" s="43">
        <f t="shared" si="15"/>
        <v>55</v>
      </c>
      <c r="T180" s="43" t="str">
        <f t="shared" si="16"/>
        <v/>
      </c>
      <c r="U180" s="42" t="str">
        <f t="shared" si="17"/>
        <v/>
      </c>
      <c r="V180" s="45">
        <f>(SUM($O$2:O180)-SUM($I$2:I180))</f>
        <v>-208.33999999999995</v>
      </c>
    </row>
    <row r="181" spans="1:22" x14ac:dyDescent="0.2">
      <c r="A181" s="44">
        <v>26</v>
      </c>
      <c r="B181" s="35" t="s">
        <v>88</v>
      </c>
      <c r="C181" s="36">
        <f t="shared" si="18"/>
        <v>46268</v>
      </c>
      <c r="D181" s="35" t="s">
        <v>37</v>
      </c>
      <c r="E181" s="37">
        <v>15</v>
      </c>
      <c r="F181" s="35" t="s">
        <v>28</v>
      </c>
      <c r="G181" s="35" t="s">
        <v>73</v>
      </c>
      <c r="H181" s="37">
        <v>53</v>
      </c>
      <c r="I181" s="38">
        <v>4</v>
      </c>
      <c r="J181" s="38" t="str">
        <f t="shared" si="19"/>
        <v>13:15</v>
      </c>
      <c r="K181" s="35" t="s">
        <v>30</v>
      </c>
      <c r="L181" s="35"/>
      <c r="M181" s="39"/>
      <c r="N181" s="39"/>
      <c r="O181" s="40"/>
      <c r="P181" s="41"/>
      <c r="Q181" s="41"/>
      <c r="R181" s="42">
        <f t="shared" si="14"/>
        <v>0</v>
      </c>
      <c r="S181" s="43">
        <f t="shared" si="15"/>
        <v>68</v>
      </c>
      <c r="T181" s="43" t="str">
        <f t="shared" si="16"/>
        <v/>
      </c>
      <c r="U181" s="42" t="str">
        <f t="shared" si="17"/>
        <v/>
      </c>
      <c r="V181" s="45">
        <f>(SUM($O$2:O181)-SUM($I$2:I181))</f>
        <v>-212.33999999999997</v>
      </c>
    </row>
    <row r="182" spans="1:22" x14ac:dyDescent="0.2">
      <c r="A182" s="44">
        <v>26</v>
      </c>
      <c r="B182" s="35" t="s">
        <v>88</v>
      </c>
      <c r="C182" s="36">
        <f t="shared" si="18"/>
        <v>46269</v>
      </c>
      <c r="D182" s="35" t="s">
        <v>40</v>
      </c>
      <c r="E182" s="37">
        <v>30</v>
      </c>
      <c r="F182" s="35" t="s">
        <v>32</v>
      </c>
      <c r="G182" s="35" t="s">
        <v>74</v>
      </c>
      <c r="H182" s="37">
        <v>20</v>
      </c>
      <c r="I182" s="38"/>
      <c r="J182" s="38" t="str">
        <f t="shared" si="19"/>
        <v/>
      </c>
      <c r="K182" s="35" t="s">
        <v>58</v>
      </c>
      <c r="L182" s="35"/>
      <c r="M182" s="39"/>
      <c r="N182" s="39"/>
      <c r="O182" s="40"/>
      <c r="P182" s="41"/>
      <c r="Q182" s="41"/>
      <c r="R182" s="42">
        <f t="shared" si="14"/>
        <v>0</v>
      </c>
      <c r="S182" s="43">
        <f t="shared" si="15"/>
        <v>50</v>
      </c>
      <c r="T182" s="43" t="str">
        <f t="shared" si="16"/>
        <v/>
      </c>
      <c r="U182" s="42" t="str">
        <f t="shared" si="17"/>
        <v/>
      </c>
      <c r="V182" s="45">
        <f>(SUM($O$2:O182)-SUM($I$2:I182))</f>
        <v>-212.33999999999997</v>
      </c>
    </row>
    <row r="183" spans="1:22" x14ac:dyDescent="0.2">
      <c r="A183" s="44">
        <v>26</v>
      </c>
      <c r="B183" s="35" t="s">
        <v>88</v>
      </c>
      <c r="C183" s="36">
        <f t="shared" si="18"/>
        <v>46270</v>
      </c>
      <c r="D183" s="35" t="s">
        <v>44</v>
      </c>
      <c r="E183" s="37">
        <v>20</v>
      </c>
      <c r="F183" s="35" t="s">
        <v>45</v>
      </c>
      <c r="G183" s="35" t="s">
        <v>75</v>
      </c>
      <c r="H183" s="37">
        <v>30</v>
      </c>
      <c r="I183" s="38">
        <v>1.5</v>
      </c>
      <c r="J183" s="38" t="str">
        <f t="shared" si="19"/>
        <v>20:00</v>
      </c>
      <c r="K183" s="35" t="s">
        <v>60</v>
      </c>
      <c r="L183" s="35"/>
      <c r="M183" s="39"/>
      <c r="N183" s="39"/>
      <c r="O183" s="40"/>
      <c r="P183" s="41"/>
      <c r="Q183" s="41"/>
      <c r="R183" s="42">
        <f t="shared" si="14"/>
        <v>0</v>
      </c>
      <c r="S183" s="43">
        <f t="shared" si="15"/>
        <v>50</v>
      </c>
      <c r="T183" s="43" t="str">
        <f t="shared" si="16"/>
        <v/>
      </c>
      <c r="U183" s="42" t="str">
        <f t="shared" si="17"/>
        <v/>
      </c>
      <c r="V183" s="45">
        <f>(SUM($O$2:O183)-SUM($I$2:I183))</f>
        <v>-213.83999999999997</v>
      </c>
    </row>
    <row r="184" spans="1:22" x14ac:dyDescent="0.2">
      <c r="A184" s="44">
        <v>27</v>
      </c>
      <c r="B184" s="35" t="s">
        <v>88</v>
      </c>
      <c r="C184" s="36">
        <f t="shared" si="18"/>
        <v>46271</v>
      </c>
      <c r="D184" s="35" t="s">
        <v>22</v>
      </c>
      <c r="E184" s="37">
        <v>40</v>
      </c>
      <c r="F184" s="35" t="s">
        <v>85</v>
      </c>
      <c r="G184" s="35" t="s">
        <v>89</v>
      </c>
      <c r="H184" s="37">
        <v>138</v>
      </c>
      <c r="I184" s="38">
        <v>10</v>
      </c>
      <c r="J184" s="38" t="str">
        <f t="shared" si="19"/>
        <v>13:48</v>
      </c>
      <c r="K184" s="35" t="s">
        <v>87</v>
      </c>
      <c r="L184" s="35"/>
      <c r="M184" s="39"/>
      <c r="N184" s="39"/>
      <c r="O184" s="40"/>
      <c r="P184" s="41"/>
      <c r="Q184" s="41"/>
      <c r="R184" s="42">
        <f t="shared" si="14"/>
        <v>0</v>
      </c>
      <c r="S184" s="43">
        <f t="shared" si="15"/>
        <v>178</v>
      </c>
      <c r="T184" s="43" t="str">
        <f t="shared" si="16"/>
        <v/>
      </c>
      <c r="U184" s="42" t="str">
        <f t="shared" si="17"/>
        <v/>
      </c>
      <c r="V184" s="45">
        <f>(SUM($O$2:O184)-SUM($I$2:I184))</f>
        <v>-223.83999999999997</v>
      </c>
    </row>
    <row r="185" spans="1:22" x14ac:dyDescent="0.2">
      <c r="A185" s="44">
        <v>27</v>
      </c>
      <c r="B185" s="35" t="s">
        <v>88</v>
      </c>
      <c r="C185" s="36">
        <f t="shared" si="18"/>
        <v>46272</v>
      </c>
      <c r="D185" s="35" t="s">
        <v>27</v>
      </c>
      <c r="E185" s="37">
        <v>0</v>
      </c>
      <c r="F185" s="35" t="s">
        <v>48</v>
      </c>
      <c r="G185" s="35" t="s">
        <v>51</v>
      </c>
      <c r="H185" s="37">
        <v>0</v>
      </c>
      <c r="I185" s="38">
        <v>0</v>
      </c>
      <c r="J185" s="38" t="str">
        <f t="shared" si="19"/>
        <v/>
      </c>
      <c r="K185" s="35" t="s">
        <v>39</v>
      </c>
      <c r="L185" s="35" t="s">
        <v>43</v>
      </c>
      <c r="M185" s="39"/>
      <c r="N185" s="39"/>
      <c r="O185" s="40"/>
      <c r="P185" s="41"/>
      <c r="Q185" s="41"/>
      <c r="R185" s="42">
        <f t="shared" si="14"/>
        <v>1</v>
      </c>
      <c r="S185" s="43">
        <f t="shared" si="15"/>
        <v>0</v>
      </c>
      <c r="T185" s="43" t="str">
        <f t="shared" si="16"/>
        <v/>
      </c>
      <c r="U185" s="42" t="str">
        <f t="shared" si="17"/>
        <v/>
      </c>
      <c r="V185" s="45">
        <f>(SUM($O$2:O185)-SUM($I$2:I185))</f>
        <v>-223.83999999999997</v>
      </c>
    </row>
    <row r="186" spans="1:22" x14ac:dyDescent="0.2">
      <c r="A186" s="44">
        <v>27</v>
      </c>
      <c r="B186" s="35" t="s">
        <v>88</v>
      </c>
      <c r="C186" s="36">
        <f t="shared" si="18"/>
        <v>46273</v>
      </c>
      <c r="D186" s="35" t="s">
        <v>31</v>
      </c>
      <c r="E186" s="37">
        <v>30</v>
      </c>
      <c r="F186" s="35" t="s">
        <v>28</v>
      </c>
      <c r="G186" s="35" t="s">
        <v>52</v>
      </c>
      <c r="H186" s="37">
        <v>30</v>
      </c>
      <c r="I186" s="38">
        <v>1.5</v>
      </c>
      <c r="J186" s="38" t="str">
        <f t="shared" si="19"/>
        <v>20:00</v>
      </c>
      <c r="K186" s="35" t="s">
        <v>53</v>
      </c>
      <c r="L186" s="35"/>
      <c r="M186" s="39"/>
      <c r="N186" s="39"/>
      <c r="O186" s="40"/>
      <c r="P186" s="41"/>
      <c r="Q186" s="41"/>
      <c r="R186" s="42">
        <f t="shared" si="14"/>
        <v>0</v>
      </c>
      <c r="S186" s="43">
        <f t="shared" si="15"/>
        <v>60</v>
      </c>
      <c r="T186" s="43" t="str">
        <f t="shared" si="16"/>
        <v/>
      </c>
      <c r="U186" s="42" t="str">
        <f t="shared" si="17"/>
        <v/>
      </c>
      <c r="V186" s="45">
        <f>(SUM($O$2:O186)-SUM($I$2:I186))</f>
        <v>-225.33999999999997</v>
      </c>
    </row>
    <row r="187" spans="1:22" x14ac:dyDescent="0.2">
      <c r="A187" s="44">
        <v>27</v>
      </c>
      <c r="B187" s="35" t="s">
        <v>88</v>
      </c>
      <c r="C187" s="36">
        <f t="shared" si="18"/>
        <v>46274</v>
      </c>
      <c r="D187" s="35" t="s">
        <v>35</v>
      </c>
      <c r="E187" s="37">
        <v>40</v>
      </c>
      <c r="F187" s="35" t="s">
        <v>32</v>
      </c>
      <c r="G187" s="35" t="s">
        <v>54</v>
      </c>
      <c r="H187" s="37">
        <v>25</v>
      </c>
      <c r="I187" s="38"/>
      <c r="J187" s="38" t="str">
        <f t="shared" si="19"/>
        <v/>
      </c>
      <c r="K187" s="35" t="s">
        <v>55</v>
      </c>
      <c r="L187" s="35"/>
      <c r="M187" s="39"/>
      <c r="N187" s="39"/>
      <c r="O187" s="40"/>
      <c r="P187" s="41"/>
      <c r="Q187" s="41"/>
      <c r="R187" s="42">
        <f t="shared" si="14"/>
        <v>0</v>
      </c>
      <c r="S187" s="43">
        <f t="shared" si="15"/>
        <v>65</v>
      </c>
      <c r="T187" s="43" t="str">
        <f t="shared" si="16"/>
        <v/>
      </c>
      <c r="U187" s="42" t="str">
        <f t="shared" si="17"/>
        <v/>
      </c>
      <c r="V187" s="45">
        <f>(SUM($O$2:O187)-SUM($I$2:I187))</f>
        <v>-225.33999999999997</v>
      </c>
    </row>
    <row r="188" spans="1:22" x14ac:dyDescent="0.2">
      <c r="A188" s="44">
        <v>27</v>
      </c>
      <c r="B188" s="35" t="s">
        <v>88</v>
      </c>
      <c r="C188" s="36">
        <f t="shared" si="18"/>
        <v>46275</v>
      </c>
      <c r="D188" s="35" t="s">
        <v>37</v>
      </c>
      <c r="E188" s="37">
        <v>15</v>
      </c>
      <c r="F188" s="35" t="s">
        <v>28</v>
      </c>
      <c r="G188" s="35" t="s">
        <v>56</v>
      </c>
      <c r="H188" s="37">
        <v>66</v>
      </c>
      <c r="I188" s="38">
        <v>5</v>
      </c>
      <c r="J188" s="38" t="str">
        <f t="shared" si="19"/>
        <v>13:12</v>
      </c>
      <c r="K188" s="35" t="s">
        <v>30</v>
      </c>
      <c r="L188" s="35"/>
      <c r="M188" s="39"/>
      <c r="N188" s="39"/>
      <c r="O188" s="40"/>
      <c r="P188" s="41"/>
      <c r="Q188" s="41"/>
      <c r="R188" s="42">
        <f t="shared" si="14"/>
        <v>0</v>
      </c>
      <c r="S188" s="43">
        <f t="shared" si="15"/>
        <v>81</v>
      </c>
      <c r="T188" s="43" t="str">
        <f t="shared" si="16"/>
        <v/>
      </c>
      <c r="U188" s="42" t="str">
        <f t="shared" si="17"/>
        <v/>
      </c>
      <c r="V188" s="45">
        <f>(SUM($O$2:O188)-SUM($I$2:I188))</f>
        <v>-230.33999999999997</v>
      </c>
    </row>
    <row r="189" spans="1:22" x14ac:dyDescent="0.2">
      <c r="A189" s="44">
        <v>27</v>
      </c>
      <c r="B189" s="35" t="s">
        <v>88</v>
      </c>
      <c r="C189" s="36">
        <f t="shared" si="18"/>
        <v>46276</v>
      </c>
      <c r="D189" s="35" t="s">
        <v>40</v>
      </c>
      <c r="E189" s="37">
        <v>50</v>
      </c>
      <c r="F189" s="35" t="s">
        <v>23</v>
      </c>
      <c r="G189" s="35" t="s">
        <v>57</v>
      </c>
      <c r="H189" s="37">
        <v>20</v>
      </c>
      <c r="I189" s="38"/>
      <c r="J189" s="38" t="str">
        <f t="shared" si="19"/>
        <v/>
      </c>
      <c r="K189" s="35" t="s">
        <v>58</v>
      </c>
      <c r="L189" s="35"/>
      <c r="M189" s="39"/>
      <c r="N189" s="39"/>
      <c r="O189" s="40"/>
      <c r="P189" s="41"/>
      <c r="Q189" s="41"/>
      <c r="R189" s="42">
        <f t="shared" si="14"/>
        <v>0</v>
      </c>
      <c r="S189" s="43">
        <f t="shared" si="15"/>
        <v>70</v>
      </c>
      <c r="T189" s="43" t="str">
        <f t="shared" si="16"/>
        <v/>
      </c>
      <c r="U189" s="42" t="str">
        <f t="shared" si="17"/>
        <v/>
      </c>
      <c r="V189" s="45">
        <f>(SUM($O$2:O189)-SUM($I$2:I189))</f>
        <v>-230.33999999999997</v>
      </c>
    </row>
    <row r="190" spans="1:22" x14ac:dyDescent="0.2">
      <c r="A190" s="44">
        <v>27</v>
      </c>
      <c r="B190" s="35" t="s">
        <v>88</v>
      </c>
      <c r="C190" s="36">
        <f t="shared" si="18"/>
        <v>46277</v>
      </c>
      <c r="D190" s="35" t="s">
        <v>44</v>
      </c>
      <c r="E190" s="37">
        <v>15</v>
      </c>
      <c r="F190" s="35" t="s">
        <v>45</v>
      </c>
      <c r="G190" s="35" t="s">
        <v>59</v>
      </c>
      <c r="H190" s="37">
        <v>30</v>
      </c>
      <c r="I190" s="38">
        <v>1.5</v>
      </c>
      <c r="J190" s="38" t="str">
        <f t="shared" si="19"/>
        <v>20:00</v>
      </c>
      <c r="K190" s="35" t="s">
        <v>60</v>
      </c>
      <c r="L190" s="35"/>
      <c r="M190" s="39"/>
      <c r="N190" s="39"/>
      <c r="O190" s="40"/>
      <c r="P190" s="41"/>
      <c r="Q190" s="41"/>
      <c r="R190" s="42">
        <f t="shared" si="14"/>
        <v>0</v>
      </c>
      <c r="S190" s="43">
        <f t="shared" si="15"/>
        <v>45</v>
      </c>
      <c r="T190" s="43" t="str">
        <f t="shared" si="16"/>
        <v/>
      </c>
      <c r="U190" s="42" t="str">
        <f t="shared" si="17"/>
        <v/>
      </c>
      <c r="V190" s="45">
        <f>(SUM($O$2:O190)-SUM($I$2:I190))</f>
        <v>-231.83999999999997</v>
      </c>
    </row>
    <row r="191" spans="1:22" x14ac:dyDescent="0.2">
      <c r="A191" s="44">
        <v>28</v>
      </c>
      <c r="B191" s="35" t="s">
        <v>88</v>
      </c>
      <c r="C191" s="36">
        <f t="shared" si="18"/>
        <v>46278</v>
      </c>
      <c r="D191" s="35" t="s">
        <v>22</v>
      </c>
      <c r="E191" s="37">
        <v>60</v>
      </c>
      <c r="F191" s="35" t="s">
        <v>85</v>
      </c>
      <c r="G191" s="35" t="s">
        <v>90</v>
      </c>
      <c r="H191" s="37">
        <v>97</v>
      </c>
      <c r="I191" s="38">
        <v>7</v>
      </c>
      <c r="J191" s="38" t="str">
        <f t="shared" si="19"/>
        <v>13:51</v>
      </c>
      <c r="K191" s="35" t="s">
        <v>87</v>
      </c>
      <c r="L191" s="35"/>
      <c r="M191" s="39"/>
      <c r="N191" s="39"/>
      <c r="O191" s="40"/>
      <c r="P191" s="41"/>
      <c r="Q191" s="41"/>
      <c r="R191" s="42">
        <f t="shared" si="14"/>
        <v>0</v>
      </c>
      <c r="S191" s="43">
        <f t="shared" si="15"/>
        <v>157</v>
      </c>
      <c r="T191" s="43" t="str">
        <f t="shared" si="16"/>
        <v/>
      </c>
      <c r="U191" s="42" t="str">
        <f t="shared" si="17"/>
        <v/>
      </c>
      <c r="V191" s="45">
        <f>(SUM($O$2:O191)-SUM($I$2:I191))</f>
        <v>-238.83999999999997</v>
      </c>
    </row>
    <row r="192" spans="1:22" x14ac:dyDescent="0.2">
      <c r="A192" s="44">
        <v>28</v>
      </c>
      <c r="B192" s="35" t="s">
        <v>88</v>
      </c>
      <c r="C192" s="36">
        <f t="shared" si="18"/>
        <v>46279</v>
      </c>
      <c r="D192" s="35" t="s">
        <v>27</v>
      </c>
      <c r="E192" s="37">
        <v>0</v>
      </c>
      <c r="F192" s="35" t="s">
        <v>48</v>
      </c>
      <c r="G192" s="35" t="s">
        <v>51</v>
      </c>
      <c r="H192" s="37">
        <v>0</v>
      </c>
      <c r="I192" s="38">
        <v>0</v>
      </c>
      <c r="J192" s="38" t="str">
        <f t="shared" si="19"/>
        <v/>
      </c>
      <c r="K192" s="35" t="s">
        <v>39</v>
      </c>
      <c r="L192" s="35" t="s">
        <v>43</v>
      </c>
      <c r="M192" s="39"/>
      <c r="N192" s="39"/>
      <c r="O192" s="40"/>
      <c r="P192" s="41"/>
      <c r="Q192" s="41"/>
      <c r="R192" s="42">
        <f t="shared" si="14"/>
        <v>1</v>
      </c>
      <c r="S192" s="43">
        <f t="shared" si="15"/>
        <v>0</v>
      </c>
      <c r="T192" s="43" t="str">
        <f t="shared" si="16"/>
        <v/>
      </c>
      <c r="U192" s="42" t="str">
        <f t="shared" si="17"/>
        <v/>
      </c>
      <c r="V192" s="45">
        <f>(SUM($O$2:O192)-SUM($I$2:I192))</f>
        <v>-238.83999999999997</v>
      </c>
    </row>
    <row r="193" spans="1:22" x14ac:dyDescent="0.2">
      <c r="A193" s="44">
        <v>28</v>
      </c>
      <c r="B193" s="35" t="s">
        <v>88</v>
      </c>
      <c r="C193" s="36">
        <f t="shared" si="18"/>
        <v>46280</v>
      </c>
      <c r="D193" s="35" t="s">
        <v>31</v>
      </c>
      <c r="E193" s="37">
        <v>40</v>
      </c>
      <c r="F193" s="35" t="s">
        <v>23</v>
      </c>
      <c r="G193" s="35" t="s">
        <v>61</v>
      </c>
      <c r="H193" s="37">
        <v>30</v>
      </c>
      <c r="I193" s="38"/>
      <c r="J193" s="38" t="str">
        <f t="shared" si="19"/>
        <v/>
      </c>
      <c r="K193" s="35" t="s">
        <v>53</v>
      </c>
      <c r="L193" s="35"/>
      <c r="M193" s="39"/>
      <c r="N193" s="39"/>
      <c r="O193" s="40"/>
      <c r="P193" s="41"/>
      <c r="Q193" s="41"/>
      <c r="R193" s="42">
        <f t="shared" si="14"/>
        <v>0</v>
      </c>
      <c r="S193" s="43">
        <f t="shared" si="15"/>
        <v>70</v>
      </c>
      <c r="T193" s="43" t="str">
        <f t="shared" si="16"/>
        <v/>
      </c>
      <c r="U193" s="42" t="str">
        <f t="shared" si="17"/>
        <v/>
      </c>
      <c r="V193" s="45">
        <f>(SUM($O$2:O193)-SUM($I$2:I193))</f>
        <v>-238.83999999999997</v>
      </c>
    </row>
    <row r="194" spans="1:22" x14ac:dyDescent="0.2">
      <c r="A194" s="44">
        <v>28</v>
      </c>
      <c r="B194" s="35" t="s">
        <v>88</v>
      </c>
      <c r="C194" s="36">
        <f t="shared" si="18"/>
        <v>46281</v>
      </c>
      <c r="D194" s="35" t="s">
        <v>35</v>
      </c>
      <c r="E194" s="37">
        <v>50</v>
      </c>
      <c r="F194" s="35" t="s">
        <v>23</v>
      </c>
      <c r="G194" s="35" t="s">
        <v>24</v>
      </c>
      <c r="H194" s="37">
        <v>30</v>
      </c>
      <c r="I194" s="38"/>
      <c r="J194" s="38" t="str">
        <f t="shared" si="19"/>
        <v/>
      </c>
      <c r="K194" s="35" t="s">
        <v>55</v>
      </c>
      <c r="L194" s="35"/>
      <c r="M194" s="39"/>
      <c r="N194" s="39"/>
      <c r="O194" s="40"/>
      <c r="P194" s="41"/>
      <c r="Q194" s="41"/>
      <c r="R194" s="42">
        <f t="shared" ref="R194:R257" si="20">IF(L194="Done",1,IF(L194="Partial",0.5,IF(L194="Rest",1,0)))</f>
        <v>0</v>
      </c>
      <c r="S194" s="43">
        <f t="shared" ref="S194:S257" si="21">E194+H194</f>
        <v>80</v>
      </c>
      <c r="T194" s="43" t="str">
        <f t="shared" ref="T194:T257" si="22">IF(OR(M194&lt;&gt;"",N194&lt;&gt;""),M194+N194,"")</f>
        <v/>
      </c>
      <c r="U194" s="42" t="str">
        <f t="shared" ref="U194:U257" si="23">IF(O194="","",O194-I194)</f>
        <v/>
      </c>
      <c r="V194" s="45">
        <f>(SUM($O$2:O194)-SUM($I$2:I194))</f>
        <v>-238.83999999999997</v>
      </c>
    </row>
    <row r="195" spans="1:22" x14ac:dyDescent="0.2">
      <c r="A195" s="44">
        <v>28</v>
      </c>
      <c r="B195" s="35" t="s">
        <v>88</v>
      </c>
      <c r="C195" s="36">
        <f t="shared" ref="C195:C258" si="24">C194+1</f>
        <v>46282</v>
      </c>
      <c r="D195" s="35" t="s">
        <v>37</v>
      </c>
      <c r="E195" s="37">
        <v>15</v>
      </c>
      <c r="F195" s="35" t="s">
        <v>28</v>
      </c>
      <c r="G195" s="35" t="s">
        <v>62</v>
      </c>
      <c r="H195" s="37">
        <v>53</v>
      </c>
      <c r="I195" s="38">
        <v>4</v>
      </c>
      <c r="J195" s="38" t="str">
        <f t="shared" si="19"/>
        <v>13:15</v>
      </c>
      <c r="K195" s="35" t="s">
        <v>30</v>
      </c>
      <c r="L195" s="35"/>
      <c r="M195" s="39"/>
      <c r="N195" s="39"/>
      <c r="O195" s="40"/>
      <c r="P195" s="41"/>
      <c r="Q195" s="41"/>
      <c r="R195" s="42">
        <f t="shared" si="20"/>
        <v>0</v>
      </c>
      <c r="S195" s="43">
        <f t="shared" si="21"/>
        <v>68</v>
      </c>
      <c r="T195" s="43" t="str">
        <f t="shared" si="22"/>
        <v/>
      </c>
      <c r="U195" s="42" t="str">
        <f t="shared" si="23"/>
        <v/>
      </c>
      <c r="V195" s="45">
        <f>(SUM($O$2:O195)-SUM($I$2:I195))</f>
        <v>-242.83999999999997</v>
      </c>
    </row>
    <row r="196" spans="1:22" x14ac:dyDescent="0.2">
      <c r="A196" s="44">
        <v>28</v>
      </c>
      <c r="B196" s="35" t="s">
        <v>88</v>
      </c>
      <c r="C196" s="36">
        <f t="shared" si="24"/>
        <v>46283</v>
      </c>
      <c r="D196" s="35" t="s">
        <v>40</v>
      </c>
      <c r="E196" s="37">
        <v>60</v>
      </c>
      <c r="F196" s="35" t="s">
        <v>32</v>
      </c>
      <c r="G196" s="35" t="s">
        <v>63</v>
      </c>
      <c r="H196" s="37">
        <v>20</v>
      </c>
      <c r="I196" s="38"/>
      <c r="J196" s="38" t="str">
        <f t="shared" ref="J196:J259" si="25">IFERROR(TEXT(H196 / I196 / 1440, "m:ss"),"")</f>
        <v/>
      </c>
      <c r="K196" s="35" t="s">
        <v>58</v>
      </c>
      <c r="L196" s="35"/>
      <c r="M196" s="39"/>
      <c r="N196" s="39"/>
      <c r="O196" s="40"/>
      <c r="P196" s="41"/>
      <c r="Q196" s="41"/>
      <c r="R196" s="42">
        <f t="shared" si="20"/>
        <v>0</v>
      </c>
      <c r="S196" s="43">
        <f t="shared" si="21"/>
        <v>80</v>
      </c>
      <c r="T196" s="43" t="str">
        <f t="shared" si="22"/>
        <v/>
      </c>
      <c r="U196" s="42" t="str">
        <f t="shared" si="23"/>
        <v/>
      </c>
      <c r="V196" s="45">
        <f>(SUM($O$2:O196)-SUM($I$2:I196))</f>
        <v>-242.83999999999997</v>
      </c>
    </row>
    <row r="197" spans="1:22" x14ac:dyDescent="0.2">
      <c r="A197" s="44">
        <v>28</v>
      </c>
      <c r="B197" s="35" t="s">
        <v>88</v>
      </c>
      <c r="C197" s="36">
        <f t="shared" si="24"/>
        <v>46284</v>
      </c>
      <c r="D197" s="35" t="s">
        <v>44</v>
      </c>
      <c r="E197" s="37">
        <v>20</v>
      </c>
      <c r="F197" s="35" t="s">
        <v>45</v>
      </c>
      <c r="G197" s="35" t="s">
        <v>64</v>
      </c>
      <c r="H197" s="37">
        <v>30</v>
      </c>
      <c r="I197" s="38">
        <v>1.5</v>
      </c>
      <c r="J197" s="38" t="str">
        <f t="shared" si="25"/>
        <v>20:00</v>
      </c>
      <c r="K197" s="35" t="s">
        <v>60</v>
      </c>
      <c r="L197" s="35"/>
      <c r="M197" s="39"/>
      <c r="N197" s="39"/>
      <c r="O197" s="40"/>
      <c r="P197" s="41"/>
      <c r="Q197" s="41"/>
      <c r="R197" s="42">
        <f t="shared" si="20"/>
        <v>0</v>
      </c>
      <c r="S197" s="43">
        <f t="shared" si="21"/>
        <v>50</v>
      </c>
      <c r="T197" s="43" t="str">
        <f t="shared" si="22"/>
        <v/>
      </c>
      <c r="U197" s="42" t="str">
        <f t="shared" si="23"/>
        <v/>
      </c>
      <c r="V197" s="45">
        <f>(SUM($O$2:O197)-SUM($I$2:I197))</f>
        <v>-244.33999999999997</v>
      </c>
    </row>
    <row r="198" spans="1:22" x14ac:dyDescent="0.2">
      <c r="A198" s="44">
        <v>29</v>
      </c>
      <c r="B198" s="35" t="s">
        <v>88</v>
      </c>
      <c r="C198" s="36">
        <f t="shared" si="24"/>
        <v>46285</v>
      </c>
      <c r="D198" s="35" t="s">
        <v>22</v>
      </c>
      <c r="E198" s="37">
        <v>40</v>
      </c>
      <c r="F198" s="35" t="s">
        <v>85</v>
      </c>
      <c r="G198" s="35" t="s">
        <v>89</v>
      </c>
      <c r="H198" s="37">
        <v>138</v>
      </c>
      <c r="I198" s="38">
        <v>10</v>
      </c>
      <c r="J198" s="38" t="str">
        <f t="shared" si="25"/>
        <v>13:48</v>
      </c>
      <c r="K198" s="35" t="s">
        <v>87</v>
      </c>
      <c r="L198" s="35"/>
      <c r="M198" s="39"/>
      <c r="N198" s="39"/>
      <c r="O198" s="40"/>
      <c r="P198" s="41"/>
      <c r="Q198" s="41"/>
      <c r="R198" s="42">
        <f t="shared" si="20"/>
        <v>0</v>
      </c>
      <c r="S198" s="43">
        <f t="shared" si="21"/>
        <v>178</v>
      </c>
      <c r="T198" s="43" t="str">
        <f t="shared" si="22"/>
        <v/>
      </c>
      <c r="U198" s="42" t="str">
        <f t="shared" si="23"/>
        <v/>
      </c>
      <c r="V198" s="45">
        <f>(SUM($O$2:O198)-SUM($I$2:I198))</f>
        <v>-254.33999999999997</v>
      </c>
    </row>
    <row r="199" spans="1:22" x14ac:dyDescent="0.2">
      <c r="A199" s="44">
        <v>29</v>
      </c>
      <c r="B199" s="35" t="s">
        <v>88</v>
      </c>
      <c r="C199" s="36">
        <f t="shared" si="24"/>
        <v>46286</v>
      </c>
      <c r="D199" s="35" t="s">
        <v>27</v>
      </c>
      <c r="E199" s="37">
        <v>0</v>
      </c>
      <c r="F199" s="35" t="s">
        <v>48</v>
      </c>
      <c r="G199" s="35" t="s">
        <v>51</v>
      </c>
      <c r="H199" s="37">
        <v>0</v>
      </c>
      <c r="I199" s="38">
        <v>0</v>
      </c>
      <c r="J199" s="38" t="str">
        <f t="shared" si="25"/>
        <v/>
      </c>
      <c r="K199" s="35" t="s">
        <v>39</v>
      </c>
      <c r="L199" s="35" t="s">
        <v>43</v>
      </c>
      <c r="M199" s="39"/>
      <c r="N199" s="39"/>
      <c r="O199" s="40"/>
      <c r="P199" s="41"/>
      <c r="Q199" s="41"/>
      <c r="R199" s="42">
        <f t="shared" si="20"/>
        <v>1</v>
      </c>
      <c r="S199" s="43">
        <f t="shared" si="21"/>
        <v>0</v>
      </c>
      <c r="T199" s="43" t="str">
        <f t="shared" si="22"/>
        <v/>
      </c>
      <c r="U199" s="42" t="str">
        <f t="shared" si="23"/>
        <v/>
      </c>
      <c r="V199" s="45">
        <f>(SUM($O$2:O199)-SUM($I$2:I199))</f>
        <v>-254.33999999999997</v>
      </c>
    </row>
    <row r="200" spans="1:22" x14ac:dyDescent="0.2">
      <c r="A200" s="44">
        <v>29</v>
      </c>
      <c r="B200" s="35" t="s">
        <v>88</v>
      </c>
      <c r="C200" s="36">
        <f t="shared" si="24"/>
        <v>46287</v>
      </c>
      <c r="D200" s="35" t="s">
        <v>31</v>
      </c>
      <c r="E200" s="37">
        <v>50</v>
      </c>
      <c r="F200" s="35" t="s">
        <v>32</v>
      </c>
      <c r="G200" s="35" t="s">
        <v>66</v>
      </c>
      <c r="H200" s="37">
        <v>25</v>
      </c>
      <c r="I200" s="38"/>
      <c r="J200" s="38" t="str">
        <f t="shared" si="25"/>
        <v/>
      </c>
      <c r="K200" s="35" t="s">
        <v>53</v>
      </c>
      <c r="L200" s="35"/>
      <c r="M200" s="39"/>
      <c r="N200" s="39"/>
      <c r="O200" s="40"/>
      <c r="P200" s="41"/>
      <c r="Q200" s="41"/>
      <c r="R200" s="42">
        <f t="shared" si="20"/>
        <v>0</v>
      </c>
      <c r="S200" s="43">
        <f t="shared" si="21"/>
        <v>75</v>
      </c>
      <c r="T200" s="43" t="str">
        <f t="shared" si="22"/>
        <v/>
      </c>
      <c r="U200" s="42" t="str">
        <f t="shared" si="23"/>
        <v/>
      </c>
      <c r="V200" s="45">
        <f>(SUM($O$2:O200)-SUM($I$2:I200))</f>
        <v>-254.33999999999997</v>
      </c>
    </row>
    <row r="201" spans="1:22" x14ac:dyDescent="0.2">
      <c r="A201" s="44">
        <v>29</v>
      </c>
      <c r="B201" s="35" t="s">
        <v>88</v>
      </c>
      <c r="C201" s="36">
        <f t="shared" si="24"/>
        <v>46288</v>
      </c>
      <c r="D201" s="35" t="s">
        <v>35</v>
      </c>
      <c r="E201" s="37">
        <v>60</v>
      </c>
      <c r="F201" s="35" t="s">
        <v>32</v>
      </c>
      <c r="G201" s="35" t="s">
        <v>67</v>
      </c>
      <c r="H201" s="37">
        <v>30</v>
      </c>
      <c r="I201" s="38"/>
      <c r="J201" s="38" t="str">
        <f t="shared" si="25"/>
        <v/>
      </c>
      <c r="K201" s="35" t="s">
        <v>55</v>
      </c>
      <c r="L201" s="35"/>
      <c r="M201" s="39"/>
      <c r="N201" s="39"/>
      <c r="O201" s="40"/>
      <c r="P201" s="41"/>
      <c r="Q201" s="41"/>
      <c r="R201" s="42">
        <f t="shared" si="20"/>
        <v>0</v>
      </c>
      <c r="S201" s="43">
        <f t="shared" si="21"/>
        <v>90</v>
      </c>
      <c r="T201" s="43" t="str">
        <f t="shared" si="22"/>
        <v/>
      </c>
      <c r="U201" s="42" t="str">
        <f t="shared" si="23"/>
        <v/>
      </c>
      <c r="V201" s="45">
        <f>(SUM($O$2:O201)-SUM($I$2:I201))</f>
        <v>-254.33999999999997</v>
      </c>
    </row>
    <row r="202" spans="1:22" x14ac:dyDescent="0.2">
      <c r="A202" s="44">
        <v>29</v>
      </c>
      <c r="B202" s="35" t="s">
        <v>88</v>
      </c>
      <c r="C202" s="36">
        <f t="shared" si="24"/>
        <v>46289</v>
      </c>
      <c r="D202" s="35" t="s">
        <v>37</v>
      </c>
      <c r="E202" s="37">
        <v>15</v>
      </c>
      <c r="F202" s="35" t="s">
        <v>28</v>
      </c>
      <c r="G202" s="35" t="s">
        <v>68</v>
      </c>
      <c r="H202" s="37">
        <v>66</v>
      </c>
      <c r="I202" s="38">
        <v>5</v>
      </c>
      <c r="J202" s="38" t="str">
        <f t="shared" si="25"/>
        <v>13:12</v>
      </c>
      <c r="K202" s="35" t="s">
        <v>30</v>
      </c>
      <c r="L202" s="35"/>
      <c r="M202" s="39"/>
      <c r="N202" s="39"/>
      <c r="O202" s="40"/>
      <c r="P202" s="41"/>
      <c r="Q202" s="41"/>
      <c r="R202" s="42">
        <f t="shared" si="20"/>
        <v>0</v>
      </c>
      <c r="S202" s="43">
        <f t="shared" si="21"/>
        <v>81</v>
      </c>
      <c r="T202" s="43" t="str">
        <f t="shared" si="22"/>
        <v/>
      </c>
      <c r="U202" s="42" t="str">
        <f t="shared" si="23"/>
        <v/>
      </c>
      <c r="V202" s="45">
        <f>(SUM($O$2:O202)-SUM($I$2:I202))</f>
        <v>-259.33999999999997</v>
      </c>
    </row>
    <row r="203" spans="1:22" x14ac:dyDescent="0.2">
      <c r="A203" s="44">
        <v>29</v>
      </c>
      <c r="B203" s="35" t="s">
        <v>88</v>
      </c>
      <c r="C203" s="36">
        <f t="shared" si="24"/>
        <v>46290</v>
      </c>
      <c r="D203" s="35" t="s">
        <v>40</v>
      </c>
      <c r="E203" s="37">
        <v>40</v>
      </c>
      <c r="F203" s="35" t="s">
        <v>23</v>
      </c>
      <c r="G203" s="35" t="s">
        <v>69</v>
      </c>
      <c r="H203" s="37">
        <v>25</v>
      </c>
      <c r="I203" s="38"/>
      <c r="J203" s="38" t="str">
        <f t="shared" si="25"/>
        <v/>
      </c>
      <c r="K203" s="35" t="s">
        <v>58</v>
      </c>
      <c r="L203" s="35"/>
      <c r="M203" s="39"/>
      <c r="N203" s="39"/>
      <c r="O203" s="40"/>
      <c r="P203" s="41"/>
      <c r="Q203" s="41"/>
      <c r="R203" s="42">
        <f t="shared" si="20"/>
        <v>0</v>
      </c>
      <c r="S203" s="43">
        <f t="shared" si="21"/>
        <v>65</v>
      </c>
      <c r="T203" s="43" t="str">
        <f t="shared" si="22"/>
        <v/>
      </c>
      <c r="U203" s="42" t="str">
        <f t="shared" si="23"/>
        <v/>
      </c>
      <c r="V203" s="45">
        <f>(SUM($O$2:O203)-SUM($I$2:I203))</f>
        <v>-259.33999999999997</v>
      </c>
    </row>
    <row r="204" spans="1:22" x14ac:dyDescent="0.2">
      <c r="A204" s="44">
        <v>29</v>
      </c>
      <c r="B204" s="35" t="s">
        <v>88</v>
      </c>
      <c r="C204" s="36">
        <f t="shared" si="24"/>
        <v>46291</v>
      </c>
      <c r="D204" s="35" t="s">
        <v>44</v>
      </c>
      <c r="E204" s="37">
        <v>15</v>
      </c>
      <c r="F204" s="35" t="s">
        <v>28</v>
      </c>
      <c r="G204" s="35" t="s">
        <v>70</v>
      </c>
      <c r="H204" s="37">
        <v>30</v>
      </c>
      <c r="I204" s="38">
        <v>1.5</v>
      </c>
      <c r="J204" s="38" t="str">
        <f t="shared" si="25"/>
        <v>20:00</v>
      </c>
      <c r="K204" s="35" t="s">
        <v>60</v>
      </c>
      <c r="L204" s="35"/>
      <c r="M204" s="39"/>
      <c r="N204" s="39"/>
      <c r="O204" s="40"/>
      <c r="P204" s="41"/>
      <c r="Q204" s="41"/>
      <c r="R204" s="42">
        <f t="shared" si="20"/>
        <v>0</v>
      </c>
      <c r="S204" s="43">
        <f t="shared" si="21"/>
        <v>45</v>
      </c>
      <c r="T204" s="43" t="str">
        <f t="shared" si="22"/>
        <v/>
      </c>
      <c r="U204" s="42" t="str">
        <f t="shared" si="23"/>
        <v/>
      </c>
      <c r="V204" s="45">
        <f>(SUM($O$2:O204)-SUM($I$2:I204))</f>
        <v>-260.83999999999997</v>
      </c>
    </row>
    <row r="205" spans="1:22" x14ac:dyDescent="0.2">
      <c r="A205" s="44">
        <v>30</v>
      </c>
      <c r="B205" s="35" t="s">
        <v>88</v>
      </c>
      <c r="C205" s="36">
        <f t="shared" si="24"/>
        <v>46292</v>
      </c>
      <c r="D205" s="35" t="s">
        <v>22</v>
      </c>
      <c r="E205" s="37">
        <v>60</v>
      </c>
      <c r="F205" s="35" t="s">
        <v>85</v>
      </c>
      <c r="G205" s="35" t="s">
        <v>89</v>
      </c>
      <c r="H205" s="37">
        <v>152</v>
      </c>
      <c r="I205" s="38">
        <v>11</v>
      </c>
      <c r="J205" s="38" t="str">
        <f t="shared" si="25"/>
        <v>13:49</v>
      </c>
      <c r="K205" s="35" t="s">
        <v>87</v>
      </c>
      <c r="L205" s="35"/>
      <c r="M205" s="39"/>
      <c r="N205" s="39"/>
      <c r="O205" s="40"/>
      <c r="P205" s="41"/>
      <c r="Q205" s="41"/>
      <c r="R205" s="42">
        <f t="shared" si="20"/>
        <v>0</v>
      </c>
      <c r="S205" s="43">
        <f t="shared" si="21"/>
        <v>212</v>
      </c>
      <c r="T205" s="43" t="str">
        <f t="shared" si="22"/>
        <v/>
      </c>
      <c r="U205" s="42" t="str">
        <f t="shared" si="23"/>
        <v/>
      </c>
      <c r="V205" s="45">
        <f>(SUM($O$2:O205)-SUM($I$2:I205))</f>
        <v>-271.83999999999997</v>
      </c>
    </row>
    <row r="206" spans="1:22" x14ac:dyDescent="0.2">
      <c r="A206" s="44">
        <v>30</v>
      </c>
      <c r="B206" s="35" t="s">
        <v>88</v>
      </c>
      <c r="C206" s="36">
        <f t="shared" si="24"/>
        <v>46293</v>
      </c>
      <c r="D206" s="35" t="s">
        <v>27</v>
      </c>
      <c r="E206" s="37">
        <v>0</v>
      </c>
      <c r="F206" s="35" t="s">
        <v>48</v>
      </c>
      <c r="G206" s="35" t="s">
        <v>51</v>
      </c>
      <c r="H206" s="37">
        <v>0</v>
      </c>
      <c r="I206" s="38">
        <v>0</v>
      </c>
      <c r="J206" s="38" t="str">
        <f t="shared" si="25"/>
        <v/>
      </c>
      <c r="K206" s="35" t="s">
        <v>39</v>
      </c>
      <c r="L206" s="35" t="s">
        <v>43</v>
      </c>
      <c r="M206" s="39"/>
      <c r="N206" s="39"/>
      <c r="O206" s="40"/>
      <c r="P206" s="41"/>
      <c r="Q206" s="41"/>
      <c r="R206" s="42">
        <f t="shared" si="20"/>
        <v>1</v>
      </c>
      <c r="S206" s="43">
        <f t="shared" si="21"/>
        <v>0</v>
      </c>
      <c r="T206" s="43" t="str">
        <f t="shared" si="22"/>
        <v/>
      </c>
      <c r="U206" s="42" t="str">
        <f t="shared" si="23"/>
        <v/>
      </c>
      <c r="V206" s="45">
        <f>(SUM($O$2:O206)-SUM($I$2:I206))</f>
        <v>-271.83999999999997</v>
      </c>
    </row>
    <row r="207" spans="1:22" x14ac:dyDescent="0.2">
      <c r="A207" s="44">
        <v>30</v>
      </c>
      <c r="B207" s="35" t="s">
        <v>88</v>
      </c>
      <c r="C207" s="36">
        <f t="shared" si="24"/>
        <v>46294</v>
      </c>
      <c r="D207" s="35" t="s">
        <v>31</v>
      </c>
      <c r="E207" s="37">
        <v>60</v>
      </c>
      <c r="F207" s="35" t="s">
        <v>28</v>
      </c>
      <c r="G207" s="35" t="s">
        <v>71</v>
      </c>
      <c r="H207" s="37">
        <v>35</v>
      </c>
      <c r="I207" s="38">
        <v>1.8</v>
      </c>
      <c r="J207" s="38" t="str">
        <f t="shared" si="25"/>
        <v>19:27</v>
      </c>
      <c r="K207" s="35" t="s">
        <v>53</v>
      </c>
      <c r="L207" s="35"/>
      <c r="M207" s="39"/>
      <c r="N207" s="39"/>
      <c r="O207" s="40"/>
      <c r="P207" s="41"/>
      <c r="Q207" s="41"/>
      <c r="R207" s="42">
        <f t="shared" si="20"/>
        <v>0</v>
      </c>
      <c r="S207" s="43">
        <f t="shared" si="21"/>
        <v>95</v>
      </c>
      <c r="T207" s="43" t="str">
        <f t="shared" si="22"/>
        <v/>
      </c>
      <c r="U207" s="42" t="str">
        <f t="shared" si="23"/>
        <v/>
      </c>
      <c r="V207" s="45">
        <f>(SUM($O$2:O207)-SUM($I$2:I207))</f>
        <v>-273.64</v>
      </c>
    </row>
    <row r="208" spans="1:22" x14ac:dyDescent="0.2">
      <c r="A208" s="44">
        <v>30</v>
      </c>
      <c r="B208" s="35" t="s">
        <v>88</v>
      </c>
      <c r="C208" s="36">
        <f t="shared" si="24"/>
        <v>46295</v>
      </c>
      <c r="D208" s="35" t="s">
        <v>35</v>
      </c>
      <c r="E208" s="37">
        <v>30</v>
      </c>
      <c r="F208" s="35" t="s">
        <v>23</v>
      </c>
      <c r="G208" s="35" t="s">
        <v>72</v>
      </c>
      <c r="H208" s="37">
        <v>25</v>
      </c>
      <c r="I208" s="38"/>
      <c r="J208" s="38" t="str">
        <f t="shared" si="25"/>
        <v/>
      </c>
      <c r="K208" s="35" t="s">
        <v>55</v>
      </c>
      <c r="L208" s="35"/>
      <c r="M208" s="39"/>
      <c r="N208" s="39"/>
      <c r="O208" s="40"/>
      <c r="P208" s="41"/>
      <c r="Q208" s="41"/>
      <c r="R208" s="42">
        <f t="shared" si="20"/>
        <v>0</v>
      </c>
      <c r="S208" s="43">
        <f t="shared" si="21"/>
        <v>55</v>
      </c>
      <c r="T208" s="43" t="str">
        <f t="shared" si="22"/>
        <v/>
      </c>
      <c r="U208" s="42" t="str">
        <f t="shared" si="23"/>
        <v/>
      </c>
      <c r="V208" s="45">
        <f>(SUM($O$2:O208)-SUM($I$2:I208))</f>
        <v>-273.64</v>
      </c>
    </row>
    <row r="209" spans="1:22" x14ac:dyDescent="0.2">
      <c r="A209" s="44">
        <v>30</v>
      </c>
      <c r="B209" s="35" t="s">
        <v>88</v>
      </c>
      <c r="C209" s="36">
        <f t="shared" si="24"/>
        <v>46296</v>
      </c>
      <c r="D209" s="35" t="s">
        <v>37</v>
      </c>
      <c r="E209" s="37">
        <v>15</v>
      </c>
      <c r="F209" s="35" t="s">
        <v>28</v>
      </c>
      <c r="G209" s="35" t="s">
        <v>73</v>
      </c>
      <c r="H209" s="37">
        <v>66</v>
      </c>
      <c r="I209" s="38">
        <v>5</v>
      </c>
      <c r="J209" s="38" t="str">
        <f t="shared" si="25"/>
        <v>13:12</v>
      </c>
      <c r="K209" s="35" t="s">
        <v>30</v>
      </c>
      <c r="L209" s="35"/>
      <c r="M209" s="39"/>
      <c r="N209" s="39"/>
      <c r="O209" s="40"/>
      <c r="P209" s="41"/>
      <c r="Q209" s="41"/>
      <c r="R209" s="42">
        <f t="shared" si="20"/>
        <v>0</v>
      </c>
      <c r="S209" s="43">
        <f t="shared" si="21"/>
        <v>81</v>
      </c>
      <c r="T209" s="43" t="str">
        <f t="shared" si="22"/>
        <v/>
      </c>
      <c r="U209" s="42" t="str">
        <f t="shared" si="23"/>
        <v/>
      </c>
      <c r="V209" s="45">
        <f>(SUM($O$2:O209)-SUM($I$2:I209))</f>
        <v>-278.64</v>
      </c>
    </row>
    <row r="210" spans="1:22" x14ac:dyDescent="0.2">
      <c r="A210" s="44">
        <v>30</v>
      </c>
      <c r="B210" s="35" t="s">
        <v>88</v>
      </c>
      <c r="C210" s="36">
        <f t="shared" si="24"/>
        <v>46297</v>
      </c>
      <c r="D210" s="35" t="s">
        <v>40</v>
      </c>
      <c r="E210" s="37">
        <v>30</v>
      </c>
      <c r="F210" s="35" t="s">
        <v>32</v>
      </c>
      <c r="G210" s="35" t="s">
        <v>74</v>
      </c>
      <c r="H210" s="37">
        <v>20</v>
      </c>
      <c r="I210" s="38"/>
      <c r="J210" s="38" t="str">
        <f t="shared" si="25"/>
        <v/>
      </c>
      <c r="K210" s="35" t="s">
        <v>58</v>
      </c>
      <c r="L210" s="35"/>
      <c r="M210" s="39"/>
      <c r="N210" s="39"/>
      <c r="O210" s="40"/>
      <c r="P210" s="41"/>
      <c r="Q210" s="41"/>
      <c r="R210" s="42">
        <f t="shared" si="20"/>
        <v>0</v>
      </c>
      <c r="S210" s="43">
        <f t="shared" si="21"/>
        <v>50</v>
      </c>
      <c r="T210" s="43" t="str">
        <f t="shared" si="22"/>
        <v/>
      </c>
      <c r="U210" s="42" t="str">
        <f t="shared" si="23"/>
        <v/>
      </c>
      <c r="V210" s="45">
        <f>(SUM($O$2:O210)-SUM($I$2:I210))</f>
        <v>-278.64</v>
      </c>
    </row>
    <row r="211" spans="1:22" x14ac:dyDescent="0.2">
      <c r="A211" s="44">
        <v>30</v>
      </c>
      <c r="B211" s="35" t="s">
        <v>88</v>
      </c>
      <c r="C211" s="36">
        <f t="shared" si="24"/>
        <v>46298</v>
      </c>
      <c r="D211" s="35" t="s">
        <v>44</v>
      </c>
      <c r="E211" s="37">
        <v>20</v>
      </c>
      <c r="F211" s="35" t="s">
        <v>45</v>
      </c>
      <c r="G211" s="35" t="s">
        <v>75</v>
      </c>
      <c r="H211" s="37">
        <v>30</v>
      </c>
      <c r="I211" s="38">
        <v>1.5</v>
      </c>
      <c r="J211" s="38" t="str">
        <f t="shared" si="25"/>
        <v>20:00</v>
      </c>
      <c r="K211" s="35" t="s">
        <v>60</v>
      </c>
      <c r="L211" s="35"/>
      <c r="M211" s="39"/>
      <c r="N211" s="39"/>
      <c r="O211" s="40"/>
      <c r="P211" s="41"/>
      <c r="Q211" s="41"/>
      <c r="R211" s="42">
        <f t="shared" si="20"/>
        <v>0</v>
      </c>
      <c r="S211" s="43">
        <f t="shared" si="21"/>
        <v>50</v>
      </c>
      <c r="T211" s="43" t="str">
        <f t="shared" si="22"/>
        <v/>
      </c>
      <c r="U211" s="42" t="str">
        <f t="shared" si="23"/>
        <v/>
      </c>
      <c r="V211" s="45">
        <f>(SUM($O$2:O211)-SUM($I$2:I211))</f>
        <v>-280.14</v>
      </c>
    </row>
    <row r="212" spans="1:22" x14ac:dyDescent="0.2">
      <c r="A212" s="44">
        <v>31</v>
      </c>
      <c r="B212" s="35" t="s">
        <v>88</v>
      </c>
      <c r="C212" s="36">
        <f t="shared" si="24"/>
        <v>46299</v>
      </c>
      <c r="D212" s="35" t="s">
        <v>22</v>
      </c>
      <c r="E212" s="37">
        <v>40</v>
      </c>
      <c r="F212" s="35" t="s">
        <v>85</v>
      </c>
      <c r="G212" s="35" t="s">
        <v>91</v>
      </c>
      <c r="H212" s="37">
        <v>166</v>
      </c>
      <c r="I212" s="38">
        <v>12</v>
      </c>
      <c r="J212" s="38" t="str">
        <f t="shared" si="25"/>
        <v>13:50</v>
      </c>
      <c r="K212" s="35" t="s">
        <v>87</v>
      </c>
      <c r="L212" s="35"/>
      <c r="M212" s="39"/>
      <c r="N212" s="39"/>
      <c r="O212" s="40"/>
      <c r="P212" s="41"/>
      <c r="Q212" s="41"/>
      <c r="R212" s="42">
        <f t="shared" si="20"/>
        <v>0</v>
      </c>
      <c r="S212" s="43">
        <f t="shared" si="21"/>
        <v>206</v>
      </c>
      <c r="T212" s="43" t="str">
        <f t="shared" si="22"/>
        <v/>
      </c>
      <c r="U212" s="42" t="str">
        <f t="shared" si="23"/>
        <v/>
      </c>
      <c r="V212" s="45">
        <f>(SUM($O$2:O212)-SUM($I$2:I212))</f>
        <v>-292.14</v>
      </c>
    </row>
    <row r="213" spans="1:22" x14ac:dyDescent="0.2">
      <c r="A213" s="44">
        <v>31</v>
      </c>
      <c r="B213" s="35" t="s">
        <v>88</v>
      </c>
      <c r="C213" s="36">
        <f t="shared" si="24"/>
        <v>46300</v>
      </c>
      <c r="D213" s="35" t="s">
        <v>27</v>
      </c>
      <c r="E213" s="37">
        <v>0</v>
      </c>
      <c r="F213" s="35" t="s">
        <v>48</v>
      </c>
      <c r="G213" s="35" t="s">
        <v>51</v>
      </c>
      <c r="H213" s="37">
        <v>0</v>
      </c>
      <c r="I213" s="38">
        <v>0</v>
      </c>
      <c r="J213" s="38" t="str">
        <f t="shared" si="25"/>
        <v/>
      </c>
      <c r="K213" s="35" t="s">
        <v>39</v>
      </c>
      <c r="L213" s="35" t="s">
        <v>43</v>
      </c>
      <c r="M213" s="39"/>
      <c r="N213" s="39"/>
      <c r="O213" s="40"/>
      <c r="P213" s="41"/>
      <c r="Q213" s="41"/>
      <c r="R213" s="42">
        <f t="shared" si="20"/>
        <v>1</v>
      </c>
      <c r="S213" s="43">
        <f t="shared" si="21"/>
        <v>0</v>
      </c>
      <c r="T213" s="43" t="str">
        <f t="shared" si="22"/>
        <v/>
      </c>
      <c r="U213" s="42" t="str">
        <f t="shared" si="23"/>
        <v/>
      </c>
      <c r="V213" s="45">
        <f>(SUM($O$2:O213)-SUM($I$2:I213))</f>
        <v>-292.14</v>
      </c>
    </row>
    <row r="214" spans="1:22" x14ac:dyDescent="0.2">
      <c r="A214" s="44">
        <v>31</v>
      </c>
      <c r="B214" s="35" t="s">
        <v>88</v>
      </c>
      <c r="C214" s="36">
        <f t="shared" si="24"/>
        <v>46301</v>
      </c>
      <c r="D214" s="35" t="s">
        <v>31</v>
      </c>
      <c r="E214" s="37">
        <v>30</v>
      </c>
      <c r="F214" s="35" t="s">
        <v>28</v>
      </c>
      <c r="G214" s="35" t="s">
        <v>52</v>
      </c>
      <c r="H214" s="37">
        <v>30</v>
      </c>
      <c r="I214" s="38">
        <v>1.5</v>
      </c>
      <c r="J214" s="38" t="str">
        <f t="shared" si="25"/>
        <v>20:00</v>
      </c>
      <c r="K214" s="35" t="s">
        <v>53</v>
      </c>
      <c r="L214" s="35"/>
      <c r="M214" s="39"/>
      <c r="N214" s="39"/>
      <c r="O214" s="40"/>
      <c r="P214" s="41"/>
      <c r="Q214" s="41"/>
      <c r="R214" s="42">
        <f t="shared" si="20"/>
        <v>0</v>
      </c>
      <c r="S214" s="43">
        <f t="shared" si="21"/>
        <v>60</v>
      </c>
      <c r="T214" s="43" t="str">
        <f t="shared" si="22"/>
        <v/>
      </c>
      <c r="U214" s="42" t="str">
        <f t="shared" si="23"/>
        <v/>
      </c>
      <c r="V214" s="45">
        <f>(SUM($O$2:O214)-SUM($I$2:I214))</f>
        <v>-293.64</v>
      </c>
    </row>
    <row r="215" spans="1:22" x14ac:dyDescent="0.2">
      <c r="A215" s="44">
        <v>31</v>
      </c>
      <c r="B215" s="35" t="s">
        <v>88</v>
      </c>
      <c r="C215" s="36">
        <f t="shared" si="24"/>
        <v>46302</v>
      </c>
      <c r="D215" s="35" t="s">
        <v>35</v>
      </c>
      <c r="E215" s="37">
        <v>40</v>
      </c>
      <c r="F215" s="35" t="s">
        <v>32</v>
      </c>
      <c r="G215" s="35" t="s">
        <v>54</v>
      </c>
      <c r="H215" s="37">
        <v>25</v>
      </c>
      <c r="I215" s="38"/>
      <c r="J215" s="38" t="str">
        <f t="shared" si="25"/>
        <v/>
      </c>
      <c r="K215" s="35" t="s">
        <v>55</v>
      </c>
      <c r="L215" s="35"/>
      <c r="M215" s="39"/>
      <c r="N215" s="39"/>
      <c r="O215" s="40"/>
      <c r="P215" s="41"/>
      <c r="Q215" s="41"/>
      <c r="R215" s="42">
        <f t="shared" si="20"/>
        <v>0</v>
      </c>
      <c r="S215" s="43">
        <f t="shared" si="21"/>
        <v>65</v>
      </c>
      <c r="T215" s="43" t="str">
        <f t="shared" si="22"/>
        <v/>
      </c>
      <c r="U215" s="42" t="str">
        <f t="shared" si="23"/>
        <v/>
      </c>
      <c r="V215" s="45">
        <f>(SUM($O$2:O215)-SUM($I$2:I215))</f>
        <v>-293.64</v>
      </c>
    </row>
    <row r="216" spans="1:22" x14ac:dyDescent="0.2">
      <c r="A216" s="44">
        <v>31</v>
      </c>
      <c r="B216" s="35" t="s">
        <v>88</v>
      </c>
      <c r="C216" s="36">
        <f t="shared" si="24"/>
        <v>46303</v>
      </c>
      <c r="D216" s="35" t="s">
        <v>37</v>
      </c>
      <c r="E216" s="37">
        <v>15</v>
      </c>
      <c r="F216" s="35" t="s">
        <v>28</v>
      </c>
      <c r="G216" s="35" t="s">
        <v>56</v>
      </c>
      <c r="H216" s="37">
        <v>79</v>
      </c>
      <c r="I216" s="38">
        <v>6</v>
      </c>
      <c r="J216" s="38" t="str">
        <f t="shared" si="25"/>
        <v>13:10</v>
      </c>
      <c r="K216" s="35" t="s">
        <v>30</v>
      </c>
      <c r="L216" s="35"/>
      <c r="M216" s="39"/>
      <c r="N216" s="39"/>
      <c r="O216" s="40"/>
      <c r="P216" s="41"/>
      <c r="Q216" s="41"/>
      <c r="R216" s="42">
        <f t="shared" si="20"/>
        <v>0</v>
      </c>
      <c r="S216" s="43">
        <f t="shared" si="21"/>
        <v>94</v>
      </c>
      <c r="T216" s="43" t="str">
        <f t="shared" si="22"/>
        <v/>
      </c>
      <c r="U216" s="42" t="str">
        <f t="shared" si="23"/>
        <v/>
      </c>
      <c r="V216" s="45">
        <f>(SUM($O$2:O216)-SUM($I$2:I216))</f>
        <v>-299.64</v>
      </c>
    </row>
    <row r="217" spans="1:22" x14ac:dyDescent="0.2">
      <c r="A217" s="44">
        <v>31</v>
      </c>
      <c r="B217" s="35" t="s">
        <v>88</v>
      </c>
      <c r="C217" s="36">
        <f t="shared" si="24"/>
        <v>46304</v>
      </c>
      <c r="D217" s="35" t="s">
        <v>40</v>
      </c>
      <c r="E217" s="37">
        <v>50</v>
      </c>
      <c r="F217" s="35" t="s">
        <v>23</v>
      </c>
      <c r="G217" s="35" t="s">
        <v>57</v>
      </c>
      <c r="H217" s="37">
        <v>20</v>
      </c>
      <c r="I217" s="38"/>
      <c r="J217" s="38" t="str">
        <f t="shared" si="25"/>
        <v/>
      </c>
      <c r="K217" s="35" t="s">
        <v>58</v>
      </c>
      <c r="L217" s="35"/>
      <c r="M217" s="39"/>
      <c r="N217" s="39"/>
      <c r="O217" s="40"/>
      <c r="P217" s="41"/>
      <c r="Q217" s="41"/>
      <c r="R217" s="42">
        <f t="shared" si="20"/>
        <v>0</v>
      </c>
      <c r="S217" s="43">
        <f t="shared" si="21"/>
        <v>70</v>
      </c>
      <c r="T217" s="43" t="str">
        <f t="shared" si="22"/>
        <v/>
      </c>
      <c r="U217" s="42" t="str">
        <f t="shared" si="23"/>
        <v/>
      </c>
      <c r="V217" s="45">
        <f>(SUM($O$2:O217)-SUM($I$2:I217))</f>
        <v>-299.64</v>
      </c>
    </row>
    <row r="218" spans="1:22" x14ac:dyDescent="0.2">
      <c r="A218" s="44">
        <v>31</v>
      </c>
      <c r="B218" s="35" t="s">
        <v>88</v>
      </c>
      <c r="C218" s="36">
        <f t="shared" si="24"/>
        <v>46305</v>
      </c>
      <c r="D218" s="35" t="s">
        <v>44</v>
      </c>
      <c r="E218" s="37">
        <v>15</v>
      </c>
      <c r="F218" s="35" t="s">
        <v>45</v>
      </c>
      <c r="G218" s="35" t="s">
        <v>59</v>
      </c>
      <c r="H218" s="37">
        <v>30</v>
      </c>
      <c r="I218" s="38">
        <v>1.5</v>
      </c>
      <c r="J218" s="38" t="str">
        <f t="shared" si="25"/>
        <v>20:00</v>
      </c>
      <c r="K218" s="35" t="s">
        <v>60</v>
      </c>
      <c r="L218" s="35"/>
      <c r="M218" s="39"/>
      <c r="N218" s="39"/>
      <c r="O218" s="40"/>
      <c r="P218" s="41"/>
      <c r="Q218" s="41"/>
      <c r="R218" s="42">
        <f t="shared" si="20"/>
        <v>0</v>
      </c>
      <c r="S218" s="43">
        <f t="shared" si="21"/>
        <v>45</v>
      </c>
      <c r="T218" s="43" t="str">
        <f t="shared" si="22"/>
        <v/>
      </c>
      <c r="U218" s="42" t="str">
        <f t="shared" si="23"/>
        <v/>
      </c>
      <c r="V218" s="45">
        <f>(SUM($O$2:O218)-SUM($I$2:I218))</f>
        <v>-301.14</v>
      </c>
    </row>
    <row r="219" spans="1:22" x14ac:dyDescent="0.2">
      <c r="A219" s="44">
        <v>32</v>
      </c>
      <c r="B219" s="35" t="s">
        <v>88</v>
      </c>
      <c r="C219" s="36">
        <f t="shared" si="24"/>
        <v>46306</v>
      </c>
      <c r="D219" s="35" t="s">
        <v>22</v>
      </c>
      <c r="E219" s="37">
        <v>60</v>
      </c>
      <c r="F219" s="35" t="s">
        <v>85</v>
      </c>
      <c r="G219" s="35" t="s">
        <v>90</v>
      </c>
      <c r="H219" s="37">
        <v>110</v>
      </c>
      <c r="I219" s="38">
        <v>8</v>
      </c>
      <c r="J219" s="38" t="str">
        <f t="shared" si="25"/>
        <v>13:45</v>
      </c>
      <c r="K219" s="35" t="s">
        <v>87</v>
      </c>
      <c r="L219" s="35"/>
      <c r="M219" s="39"/>
      <c r="N219" s="39"/>
      <c r="O219" s="40"/>
      <c r="P219" s="41"/>
      <c r="Q219" s="41"/>
      <c r="R219" s="42">
        <f t="shared" si="20"/>
        <v>0</v>
      </c>
      <c r="S219" s="43">
        <f t="shared" si="21"/>
        <v>170</v>
      </c>
      <c r="T219" s="43" t="str">
        <f t="shared" si="22"/>
        <v/>
      </c>
      <c r="U219" s="42" t="str">
        <f t="shared" si="23"/>
        <v/>
      </c>
      <c r="V219" s="45">
        <f>(SUM($O$2:O219)-SUM($I$2:I219))</f>
        <v>-309.14</v>
      </c>
    </row>
    <row r="220" spans="1:22" x14ac:dyDescent="0.2">
      <c r="A220" s="44">
        <v>32</v>
      </c>
      <c r="B220" s="35" t="s">
        <v>88</v>
      </c>
      <c r="C220" s="36">
        <f t="shared" si="24"/>
        <v>46307</v>
      </c>
      <c r="D220" s="35" t="s">
        <v>27</v>
      </c>
      <c r="E220" s="37">
        <v>0</v>
      </c>
      <c r="F220" s="35" t="s">
        <v>48</v>
      </c>
      <c r="G220" s="35" t="s">
        <v>51</v>
      </c>
      <c r="H220" s="37">
        <v>0</v>
      </c>
      <c r="I220" s="38">
        <v>0</v>
      </c>
      <c r="J220" s="38" t="str">
        <f t="shared" si="25"/>
        <v/>
      </c>
      <c r="K220" s="35" t="s">
        <v>39</v>
      </c>
      <c r="L220" s="35" t="s">
        <v>43</v>
      </c>
      <c r="M220" s="39"/>
      <c r="N220" s="39"/>
      <c r="O220" s="40"/>
      <c r="P220" s="41"/>
      <c r="Q220" s="41"/>
      <c r="R220" s="42">
        <f t="shared" si="20"/>
        <v>1</v>
      </c>
      <c r="S220" s="43">
        <f t="shared" si="21"/>
        <v>0</v>
      </c>
      <c r="T220" s="43" t="str">
        <f t="shared" si="22"/>
        <v/>
      </c>
      <c r="U220" s="42" t="str">
        <f t="shared" si="23"/>
        <v/>
      </c>
      <c r="V220" s="45">
        <f>(SUM($O$2:O220)-SUM($I$2:I220))</f>
        <v>-309.14</v>
      </c>
    </row>
    <row r="221" spans="1:22" x14ac:dyDescent="0.2">
      <c r="A221" s="44">
        <v>32</v>
      </c>
      <c r="B221" s="35" t="s">
        <v>88</v>
      </c>
      <c r="C221" s="36">
        <f t="shared" si="24"/>
        <v>46308</v>
      </c>
      <c r="D221" s="35" t="s">
        <v>31</v>
      </c>
      <c r="E221" s="37">
        <v>40</v>
      </c>
      <c r="F221" s="35" t="s">
        <v>23</v>
      </c>
      <c r="G221" s="35" t="s">
        <v>61</v>
      </c>
      <c r="H221" s="37">
        <v>30</v>
      </c>
      <c r="I221" s="38"/>
      <c r="J221" s="38" t="str">
        <f t="shared" si="25"/>
        <v/>
      </c>
      <c r="K221" s="35" t="s">
        <v>53</v>
      </c>
      <c r="L221" s="35"/>
      <c r="M221" s="39"/>
      <c r="N221" s="39"/>
      <c r="O221" s="40"/>
      <c r="P221" s="41"/>
      <c r="Q221" s="41"/>
      <c r="R221" s="42">
        <f t="shared" si="20"/>
        <v>0</v>
      </c>
      <c r="S221" s="43">
        <f t="shared" si="21"/>
        <v>70</v>
      </c>
      <c r="T221" s="43" t="str">
        <f t="shared" si="22"/>
        <v/>
      </c>
      <c r="U221" s="42" t="str">
        <f t="shared" si="23"/>
        <v/>
      </c>
      <c r="V221" s="45">
        <f>(SUM($O$2:O221)-SUM($I$2:I221))</f>
        <v>-309.14</v>
      </c>
    </row>
    <row r="222" spans="1:22" x14ac:dyDescent="0.2">
      <c r="A222" s="44">
        <v>32</v>
      </c>
      <c r="B222" s="35" t="s">
        <v>88</v>
      </c>
      <c r="C222" s="36">
        <f t="shared" si="24"/>
        <v>46309</v>
      </c>
      <c r="D222" s="35" t="s">
        <v>35</v>
      </c>
      <c r="E222" s="37">
        <v>50</v>
      </c>
      <c r="F222" s="35" t="s">
        <v>23</v>
      </c>
      <c r="G222" s="35" t="s">
        <v>24</v>
      </c>
      <c r="H222" s="37">
        <v>30</v>
      </c>
      <c r="I222" s="38"/>
      <c r="J222" s="38" t="str">
        <f t="shared" si="25"/>
        <v/>
      </c>
      <c r="K222" s="35" t="s">
        <v>55</v>
      </c>
      <c r="L222" s="35"/>
      <c r="M222" s="39"/>
      <c r="N222" s="39"/>
      <c r="O222" s="40"/>
      <c r="P222" s="41"/>
      <c r="Q222" s="41"/>
      <c r="R222" s="42">
        <f t="shared" si="20"/>
        <v>0</v>
      </c>
      <c r="S222" s="43">
        <f t="shared" si="21"/>
        <v>80</v>
      </c>
      <c r="T222" s="43" t="str">
        <f t="shared" si="22"/>
        <v/>
      </c>
      <c r="U222" s="42" t="str">
        <f t="shared" si="23"/>
        <v/>
      </c>
      <c r="V222" s="45">
        <f>(SUM($O$2:O222)-SUM($I$2:I222))</f>
        <v>-309.14</v>
      </c>
    </row>
    <row r="223" spans="1:22" x14ac:dyDescent="0.2">
      <c r="A223" s="44">
        <v>32</v>
      </c>
      <c r="B223" s="35" t="s">
        <v>88</v>
      </c>
      <c r="C223" s="36">
        <f t="shared" si="24"/>
        <v>46310</v>
      </c>
      <c r="D223" s="35" t="s">
        <v>37</v>
      </c>
      <c r="E223" s="37">
        <v>15</v>
      </c>
      <c r="F223" s="35" t="s">
        <v>28</v>
      </c>
      <c r="G223" s="35" t="s">
        <v>62</v>
      </c>
      <c r="H223" s="37">
        <v>53</v>
      </c>
      <c r="I223" s="38">
        <v>4</v>
      </c>
      <c r="J223" s="38" t="str">
        <f t="shared" si="25"/>
        <v>13:15</v>
      </c>
      <c r="K223" s="35" t="s">
        <v>30</v>
      </c>
      <c r="L223" s="35"/>
      <c r="M223" s="39"/>
      <c r="N223" s="39"/>
      <c r="O223" s="40"/>
      <c r="P223" s="41"/>
      <c r="Q223" s="41"/>
      <c r="R223" s="42">
        <f t="shared" si="20"/>
        <v>0</v>
      </c>
      <c r="S223" s="43">
        <f t="shared" si="21"/>
        <v>68</v>
      </c>
      <c r="T223" s="43" t="str">
        <f t="shared" si="22"/>
        <v/>
      </c>
      <c r="U223" s="42" t="str">
        <f t="shared" si="23"/>
        <v/>
      </c>
      <c r="V223" s="45">
        <f>(SUM($O$2:O223)-SUM($I$2:I223))</f>
        <v>-313.14</v>
      </c>
    </row>
    <row r="224" spans="1:22" x14ac:dyDescent="0.2">
      <c r="A224" s="44">
        <v>32</v>
      </c>
      <c r="B224" s="35" t="s">
        <v>88</v>
      </c>
      <c r="C224" s="36">
        <f t="shared" si="24"/>
        <v>46311</v>
      </c>
      <c r="D224" s="35" t="s">
        <v>40</v>
      </c>
      <c r="E224" s="37">
        <v>60</v>
      </c>
      <c r="F224" s="35" t="s">
        <v>32</v>
      </c>
      <c r="G224" s="35" t="s">
        <v>63</v>
      </c>
      <c r="H224" s="37">
        <v>20</v>
      </c>
      <c r="I224" s="38"/>
      <c r="J224" s="38" t="str">
        <f t="shared" si="25"/>
        <v/>
      </c>
      <c r="K224" s="35" t="s">
        <v>58</v>
      </c>
      <c r="L224" s="35"/>
      <c r="M224" s="39"/>
      <c r="N224" s="39"/>
      <c r="O224" s="40"/>
      <c r="P224" s="41"/>
      <c r="Q224" s="41"/>
      <c r="R224" s="42">
        <f t="shared" si="20"/>
        <v>0</v>
      </c>
      <c r="S224" s="43">
        <f t="shared" si="21"/>
        <v>80</v>
      </c>
      <c r="T224" s="43" t="str">
        <f t="shared" si="22"/>
        <v/>
      </c>
      <c r="U224" s="42" t="str">
        <f t="shared" si="23"/>
        <v/>
      </c>
      <c r="V224" s="45">
        <f>(SUM($O$2:O224)-SUM($I$2:I224))</f>
        <v>-313.14</v>
      </c>
    </row>
    <row r="225" spans="1:22" x14ac:dyDescent="0.2">
      <c r="A225" s="44">
        <v>32</v>
      </c>
      <c r="B225" s="35" t="s">
        <v>88</v>
      </c>
      <c r="C225" s="36">
        <f t="shared" si="24"/>
        <v>46312</v>
      </c>
      <c r="D225" s="35" t="s">
        <v>44</v>
      </c>
      <c r="E225" s="37">
        <v>20</v>
      </c>
      <c r="F225" s="35" t="s">
        <v>45</v>
      </c>
      <c r="G225" s="35" t="s">
        <v>64</v>
      </c>
      <c r="H225" s="37">
        <v>30</v>
      </c>
      <c r="I225" s="38">
        <v>1.5</v>
      </c>
      <c r="J225" s="38" t="str">
        <f t="shared" si="25"/>
        <v>20:00</v>
      </c>
      <c r="K225" s="35" t="s">
        <v>60</v>
      </c>
      <c r="L225" s="35"/>
      <c r="M225" s="39"/>
      <c r="N225" s="39"/>
      <c r="O225" s="40"/>
      <c r="P225" s="41"/>
      <c r="Q225" s="41"/>
      <c r="R225" s="42">
        <f t="shared" si="20"/>
        <v>0</v>
      </c>
      <c r="S225" s="43">
        <f t="shared" si="21"/>
        <v>50</v>
      </c>
      <c r="T225" s="43" t="str">
        <f t="shared" si="22"/>
        <v/>
      </c>
      <c r="U225" s="42" t="str">
        <f t="shared" si="23"/>
        <v/>
      </c>
      <c r="V225" s="45">
        <f>(SUM($O$2:O225)-SUM($I$2:I225))</f>
        <v>-314.64</v>
      </c>
    </row>
    <row r="226" spans="1:22" x14ac:dyDescent="0.2">
      <c r="A226" s="44">
        <v>33</v>
      </c>
      <c r="B226" s="35" t="s">
        <v>88</v>
      </c>
      <c r="C226" s="36">
        <f t="shared" si="24"/>
        <v>46313</v>
      </c>
      <c r="D226" s="35" t="s">
        <v>22</v>
      </c>
      <c r="E226" s="37">
        <v>40</v>
      </c>
      <c r="F226" s="35" t="s">
        <v>85</v>
      </c>
      <c r="G226" s="35" t="s">
        <v>91</v>
      </c>
      <c r="H226" s="37">
        <v>166</v>
      </c>
      <c r="I226" s="38">
        <v>12</v>
      </c>
      <c r="J226" s="38" t="str">
        <f t="shared" si="25"/>
        <v>13:50</v>
      </c>
      <c r="K226" s="35" t="s">
        <v>87</v>
      </c>
      <c r="L226" s="35"/>
      <c r="M226" s="39"/>
      <c r="N226" s="39"/>
      <c r="O226" s="40"/>
      <c r="P226" s="41"/>
      <c r="Q226" s="41"/>
      <c r="R226" s="42">
        <f t="shared" si="20"/>
        <v>0</v>
      </c>
      <c r="S226" s="43">
        <f t="shared" si="21"/>
        <v>206</v>
      </c>
      <c r="T226" s="43" t="str">
        <f t="shared" si="22"/>
        <v/>
      </c>
      <c r="U226" s="42" t="str">
        <f t="shared" si="23"/>
        <v/>
      </c>
      <c r="V226" s="45">
        <f>(SUM($O$2:O226)-SUM($I$2:I226))</f>
        <v>-326.64</v>
      </c>
    </row>
    <row r="227" spans="1:22" x14ac:dyDescent="0.2">
      <c r="A227" s="44">
        <v>33</v>
      </c>
      <c r="B227" s="35" t="s">
        <v>88</v>
      </c>
      <c r="C227" s="36">
        <f t="shared" si="24"/>
        <v>46314</v>
      </c>
      <c r="D227" s="35" t="s">
        <v>27</v>
      </c>
      <c r="E227" s="37">
        <v>0</v>
      </c>
      <c r="F227" s="35" t="s">
        <v>48</v>
      </c>
      <c r="G227" s="35" t="s">
        <v>51</v>
      </c>
      <c r="H227" s="37">
        <v>0</v>
      </c>
      <c r="I227" s="38">
        <v>0</v>
      </c>
      <c r="J227" s="38" t="str">
        <f t="shared" si="25"/>
        <v/>
      </c>
      <c r="K227" s="35" t="s">
        <v>39</v>
      </c>
      <c r="L227" s="35" t="s">
        <v>43</v>
      </c>
      <c r="M227" s="39"/>
      <c r="N227" s="39"/>
      <c r="O227" s="40"/>
      <c r="P227" s="41"/>
      <c r="Q227" s="41"/>
      <c r="R227" s="42">
        <f t="shared" si="20"/>
        <v>1</v>
      </c>
      <c r="S227" s="43">
        <f t="shared" si="21"/>
        <v>0</v>
      </c>
      <c r="T227" s="43" t="str">
        <f t="shared" si="22"/>
        <v/>
      </c>
      <c r="U227" s="42" t="str">
        <f t="shared" si="23"/>
        <v/>
      </c>
      <c r="V227" s="45">
        <f>(SUM($O$2:O227)-SUM($I$2:I227))</f>
        <v>-326.64</v>
      </c>
    </row>
    <row r="228" spans="1:22" x14ac:dyDescent="0.2">
      <c r="A228" s="44">
        <v>33</v>
      </c>
      <c r="B228" s="35" t="s">
        <v>88</v>
      </c>
      <c r="C228" s="36">
        <f t="shared" si="24"/>
        <v>46315</v>
      </c>
      <c r="D228" s="35" t="s">
        <v>31</v>
      </c>
      <c r="E228" s="37">
        <v>50</v>
      </c>
      <c r="F228" s="35" t="s">
        <v>32</v>
      </c>
      <c r="G228" s="35" t="s">
        <v>66</v>
      </c>
      <c r="H228" s="37">
        <v>25</v>
      </c>
      <c r="I228" s="38"/>
      <c r="J228" s="38" t="str">
        <f t="shared" si="25"/>
        <v/>
      </c>
      <c r="K228" s="35" t="s">
        <v>53</v>
      </c>
      <c r="L228" s="35"/>
      <c r="M228" s="39"/>
      <c r="N228" s="39"/>
      <c r="O228" s="40"/>
      <c r="P228" s="41"/>
      <c r="Q228" s="41"/>
      <c r="R228" s="42">
        <f t="shared" si="20"/>
        <v>0</v>
      </c>
      <c r="S228" s="43">
        <f t="shared" si="21"/>
        <v>75</v>
      </c>
      <c r="T228" s="43" t="str">
        <f t="shared" si="22"/>
        <v/>
      </c>
      <c r="U228" s="42" t="str">
        <f t="shared" si="23"/>
        <v/>
      </c>
      <c r="V228" s="45">
        <f>(SUM($O$2:O228)-SUM($I$2:I228))</f>
        <v>-326.64</v>
      </c>
    </row>
    <row r="229" spans="1:22" x14ac:dyDescent="0.2">
      <c r="A229" s="44">
        <v>33</v>
      </c>
      <c r="B229" s="35" t="s">
        <v>88</v>
      </c>
      <c r="C229" s="36">
        <f t="shared" si="24"/>
        <v>46316</v>
      </c>
      <c r="D229" s="35" t="s">
        <v>35</v>
      </c>
      <c r="E229" s="37">
        <v>60</v>
      </c>
      <c r="F229" s="35" t="s">
        <v>32</v>
      </c>
      <c r="G229" s="35" t="s">
        <v>67</v>
      </c>
      <c r="H229" s="37">
        <v>30</v>
      </c>
      <c r="I229" s="38"/>
      <c r="J229" s="38" t="str">
        <f t="shared" si="25"/>
        <v/>
      </c>
      <c r="K229" s="35" t="s">
        <v>55</v>
      </c>
      <c r="L229" s="35"/>
      <c r="M229" s="39"/>
      <c r="N229" s="39"/>
      <c r="O229" s="40"/>
      <c r="P229" s="41"/>
      <c r="Q229" s="41"/>
      <c r="R229" s="42">
        <f t="shared" si="20"/>
        <v>0</v>
      </c>
      <c r="S229" s="43">
        <f t="shared" si="21"/>
        <v>90</v>
      </c>
      <c r="T229" s="43" t="str">
        <f t="shared" si="22"/>
        <v/>
      </c>
      <c r="U229" s="42" t="str">
        <f t="shared" si="23"/>
        <v/>
      </c>
      <c r="V229" s="45">
        <f>(SUM($O$2:O229)-SUM($I$2:I229))</f>
        <v>-326.64</v>
      </c>
    </row>
    <row r="230" spans="1:22" x14ac:dyDescent="0.2">
      <c r="A230" s="44">
        <v>33</v>
      </c>
      <c r="B230" s="35" t="s">
        <v>88</v>
      </c>
      <c r="C230" s="36">
        <f t="shared" si="24"/>
        <v>46317</v>
      </c>
      <c r="D230" s="35" t="s">
        <v>37</v>
      </c>
      <c r="E230" s="37">
        <v>15</v>
      </c>
      <c r="F230" s="35" t="s">
        <v>28</v>
      </c>
      <c r="G230" s="35" t="s">
        <v>68</v>
      </c>
      <c r="H230" s="37">
        <v>79</v>
      </c>
      <c r="I230" s="38">
        <v>6</v>
      </c>
      <c r="J230" s="38" t="str">
        <f t="shared" si="25"/>
        <v>13:10</v>
      </c>
      <c r="K230" s="35" t="s">
        <v>30</v>
      </c>
      <c r="L230" s="35"/>
      <c r="M230" s="39"/>
      <c r="N230" s="39"/>
      <c r="O230" s="40"/>
      <c r="P230" s="41"/>
      <c r="Q230" s="41"/>
      <c r="R230" s="42">
        <f t="shared" si="20"/>
        <v>0</v>
      </c>
      <c r="S230" s="43">
        <f t="shared" si="21"/>
        <v>94</v>
      </c>
      <c r="T230" s="43" t="str">
        <f t="shared" si="22"/>
        <v/>
      </c>
      <c r="U230" s="42" t="str">
        <f t="shared" si="23"/>
        <v/>
      </c>
      <c r="V230" s="45">
        <f>(SUM($O$2:O230)-SUM($I$2:I230))</f>
        <v>-332.64</v>
      </c>
    </row>
    <row r="231" spans="1:22" x14ac:dyDescent="0.2">
      <c r="A231" s="44">
        <v>33</v>
      </c>
      <c r="B231" s="35" t="s">
        <v>88</v>
      </c>
      <c r="C231" s="36">
        <f t="shared" si="24"/>
        <v>46318</v>
      </c>
      <c r="D231" s="35" t="s">
        <v>40</v>
      </c>
      <c r="E231" s="37">
        <v>40</v>
      </c>
      <c r="F231" s="35" t="s">
        <v>23</v>
      </c>
      <c r="G231" s="35" t="s">
        <v>69</v>
      </c>
      <c r="H231" s="37">
        <v>25</v>
      </c>
      <c r="I231" s="38"/>
      <c r="J231" s="38" t="str">
        <f t="shared" si="25"/>
        <v/>
      </c>
      <c r="K231" s="35" t="s">
        <v>58</v>
      </c>
      <c r="L231" s="35"/>
      <c r="M231" s="39"/>
      <c r="N231" s="39"/>
      <c r="O231" s="40"/>
      <c r="P231" s="41"/>
      <c r="Q231" s="41"/>
      <c r="R231" s="42">
        <f t="shared" si="20"/>
        <v>0</v>
      </c>
      <c r="S231" s="43">
        <f t="shared" si="21"/>
        <v>65</v>
      </c>
      <c r="T231" s="43" t="str">
        <f t="shared" si="22"/>
        <v/>
      </c>
      <c r="U231" s="42" t="str">
        <f t="shared" si="23"/>
        <v/>
      </c>
      <c r="V231" s="45">
        <f>(SUM($O$2:O231)-SUM($I$2:I231))</f>
        <v>-332.64</v>
      </c>
    </row>
    <row r="232" spans="1:22" x14ac:dyDescent="0.2">
      <c r="A232" s="44">
        <v>33</v>
      </c>
      <c r="B232" s="35" t="s">
        <v>88</v>
      </c>
      <c r="C232" s="36">
        <f t="shared" si="24"/>
        <v>46319</v>
      </c>
      <c r="D232" s="35" t="s">
        <v>44</v>
      </c>
      <c r="E232" s="37">
        <v>15</v>
      </c>
      <c r="F232" s="35" t="s">
        <v>28</v>
      </c>
      <c r="G232" s="35" t="s">
        <v>70</v>
      </c>
      <c r="H232" s="37">
        <v>30</v>
      </c>
      <c r="I232" s="38">
        <v>1.5</v>
      </c>
      <c r="J232" s="38" t="str">
        <f t="shared" si="25"/>
        <v>20:00</v>
      </c>
      <c r="K232" s="35" t="s">
        <v>60</v>
      </c>
      <c r="L232" s="35"/>
      <c r="M232" s="39"/>
      <c r="N232" s="39"/>
      <c r="O232" s="40"/>
      <c r="P232" s="41"/>
      <c r="Q232" s="41"/>
      <c r="R232" s="42">
        <f t="shared" si="20"/>
        <v>0</v>
      </c>
      <c r="S232" s="43">
        <f t="shared" si="21"/>
        <v>45</v>
      </c>
      <c r="T232" s="43" t="str">
        <f t="shared" si="22"/>
        <v/>
      </c>
      <c r="U232" s="42" t="str">
        <f t="shared" si="23"/>
        <v/>
      </c>
      <c r="V232" s="45">
        <f>(SUM($O$2:O232)-SUM($I$2:I232))</f>
        <v>-334.14</v>
      </c>
    </row>
    <row r="233" spans="1:22" x14ac:dyDescent="0.2">
      <c r="A233" s="44">
        <v>34</v>
      </c>
      <c r="B233" s="35" t="s">
        <v>88</v>
      </c>
      <c r="C233" s="36">
        <f t="shared" si="24"/>
        <v>46320</v>
      </c>
      <c r="D233" s="35" t="s">
        <v>22</v>
      </c>
      <c r="E233" s="37">
        <v>60</v>
      </c>
      <c r="F233" s="35" t="s">
        <v>85</v>
      </c>
      <c r="G233" s="35" t="s">
        <v>91</v>
      </c>
      <c r="H233" s="37">
        <v>179</v>
      </c>
      <c r="I233" s="38">
        <v>13</v>
      </c>
      <c r="J233" s="38" t="str">
        <f t="shared" si="25"/>
        <v>13:46</v>
      </c>
      <c r="K233" s="35" t="s">
        <v>87</v>
      </c>
      <c r="L233" s="35"/>
      <c r="M233" s="39"/>
      <c r="N233" s="39"/>
      <c r="O233" s="40"/>
      <c r="P233" s="41"/>
      <c r="Q233" s="41"/>
      <c r="R233" s="42">
        <f t="shared" si="20"/>
        <v>0</v>
      </c>
      <c r="S233" s="43">
        <f t="shared" si="21"/>
        <v>239</v>
      </c>
      <c r="T233" s="43" t="str">
        <f t="shared" si="22"/>
        <v/>
      </c>
      <c r="U233" s="42" t="str">
        <f t="shared" si="23"/>
        <v/>
      </c>
      <c r="V233" s="45">
        <f>(SUM($O$2:O233)-SUM($I$2:I233))</f>
        <v>-347.14</v>
      </c>
    </row>
    <row r="234" spans="1:22" x14ac:dyDescent="0.2">
      <c r="A234" s="44">
        <v>34</v>
      </c>
      <c r="B234" s="35" t="s">
        <v>88</v>
      </c>
      <c r="C234" s="36">
        <f t="shared" si="24"/>
        <v>46321</v>
      </c>
      <c r="D234" s="35" t="s">
        <v>27</v>
      </c>
      <c r="E234" s="37">
        <v>0</v>
      </c>
      <c r="F234" s="35" t="s">
        <v>48</v>
      </c>
      <c r="G234" s="35" t="s">
        <v>51</v>
      </c>
      <c r="H234" s="37">
        <v>0</v>
      </c>
      <c r="I234" s="38">
        <v>0</v>
      </c>
      <c r="J234" s="38" t="str">
        <f t="shared" si="25"/>
        <v/>
      </c>
      <c r="K234" s="35" t="s">
        <v>39</v>
      </c>
      <c r="L234" s="35" t="s">
        <v>43</v>
      </c>
      <c r="M234" s="39"/>
      <c r="N234" s="39"/>
      <c r="O234" s="40"/>
      <c r="P234" s="41"/>
      <c r="Q234" s="41"/>
      <c r="R234" s="42">
        <f t="shared" si="20"/>
        <v>1</v>
      </c>
      <c r="S234" s="43">
        <f t="shared" si="21"/>
        <v>0</v>
      </c>
      <c r="T234" s="43" t="str">
        <f t="shared" si="22"/>
        <v/>
      </c>
      <c r="U234" s="42" t="str">
        <f t="shared" si="23"/>
        <v/>
      </c>
      <c r="V234" s="45">
        <f>(SUM($O$2:O234)-SUM($I$2:I234))</f>
        <v>-347.14</v>
      </c>
    </row>
    <row r="235" spans="1:22" x14ac:dyDescent="0.2">
      <c r="A235" s="44">
        <v>34</v>
      </c>
      <c r="B235" s="35" t="s">
        <v>88</v>
      </c>
      <c r="C235" s="36">
        <f t="shared" si="24"/>
        <v>46322</v>
      </c>
      <c r="D235" s="35" t="s">
        <v>31</v>
      </c>
      <c r="E235" s="37">
        <v>60</v>
      </c>
      <c r="F235" s="35" t="s">
        <v>28</v>
      </c>
      <c r="G235" s="35" t="s">
        <v>71</v>
      </c>
      <c r="H235" s="37">
        <v>35</v>
      </c>
      <c r="I235" s="38">
        <v>1.8</v>
      </c>
      <c r="J235" s="38" t="str">
        <f t="shared" si="25"/>
        <v>19:27</v>
      </c>
      <c r="K235" s="35" t="s">
        <v>53</v>
      </c>
      <c r="L235" s="35"/>
      <c r="M235" s="39"/>
      <c r="N235" s="39"/>
      <c r="O235" s="40"/>
      <c r="P235" s="41"/>
      <c r="Q235" s="41"/>
      <c r="R235" s="42">
        <f t="shared" si="20"/>
        <v>0</v>
      </c>
      <c r="S235" s="43">
        <f t="shared" si="21"/>
        <v>95</v>
      </c>
      <c r="T235" s="43" t="str">
        <f t="shared" si="22"/>
        <v/>
      </c>
      <c r="U235" s="42" t="str">
        <f t="shared" si="23"/>
        <v/>
      </c>
      <c r="V235" s="45">
        <f>(SUM($O$2:O235)-SUM($I$2:I235))</f>
        <v>-348.94</v>
      </c>
    </row>
    <row r="236" spans="1:22" x14ac:dyDescent="0.2">
      <c r="A236" s="44">
        <v>34</v>
      </c>
      <c r="B236" s="35" t="s">
        <v>88</v>
      </c>
      <c r="C236" s="36">
        <f t="shared" si="24"/>
        <v>46323</v>
      </c>
      <c r="D236" s="35" t="s">
        <v>35</v>
      </c>
      <c r="E236" s="37">
        <v>30</v>
      </c>
      <c r="F236" s="35" t="s">
        <v>23</v>
      </c>
      <c r="G236" s="35" t="s">
        <v>72</v>
      </c>
      <c r="H236" s="37">
        <v>25</v>
      </c>
      <c r="I236" s="38"/>
      <c r="J236" s="38" t="str">
        <f t="shared" si="25"/>
        <v/>
      </c>
      <c r="K236" s="35" t="s">
        <v>55</v>
      </c>
      <c r="L236" s="35"/>
      <c r="M236" s="39"/>
      <c r="N236" s="39"/>
      <c r="O236" s="40"/>
      <c r="P236" s="41"/>
      <c r="Q236" s="41"/>
      <c r="R236" s="42">
        <f t="shared" si="20"/>
        <v>0</v>
      </c>
      <c r="S236" s="43">
        <f t="shared" si="21"/>
        <v>55</v>
      </c>
      <c r="T236" s="43" t="str">
        <f t="shared" si="22"/>
        <v/>
      </c>
      <c r="U236" s="42" t="str">
        <f t="shared" si="23"/>
        <v/>
      </c>
      <c r="V236" s="45">
        <f>(SUM($O$2:O236)-SUM($I$2:I236))</f>
        <v>-348.94</v>
      </c>
    </row>
    <row r="237" spans="1:22" x14ac:dyDescent="0.2">
      <c r="A237" s="44">
        <v>34</v>
      </c>
      <c r="B237" s="35" t="s">
        <v>88</v>
      </c>
      <c r="C237" s="36">
        <f t="shared" si="24"/>
        <v>46324</v>
      </c>
      <c r="D237" s="35" t="s">
        <v>37</v>
      </c>
      <c r="E237" s="37">
        <v>15</v>
      </c>
      <c r="F237" s="35" t="s">
        <v>28</v>
      </c>
      <c r="G237" s="35" t="s">
        <v>73</v>
      </c>
      <c r="H237" s="37">
        <v>79</v>
      </c>
      <c r="I237" s="38">
        <v>6</v>
      </c>
      <c r="J237" s="38" t="str">
        <f t="shared" si="25"/>
        <v>13:10</v>
      </c>
      <c r="K237" s="35" t="s">
        <v>30</v>
      </c>
      <c r="L237" s="35"/>
      <c r="M237" s="39"/>
      <c r="N237" s="39"/>
      <c r="O237" s="40"/>
      <c r="P237" s="41"/>
      <c r="Q237" s="41"/>
      <c r="R237" s="42">
        <f t="shared" si="20"/>
        <v>0</v>
      </c>
      <c r="S237" s="43">
        <f t="shared" si="21"/>
        <v>94</v>
      </c>
      <c r="T237" s="43" t="str">
        <f t="shared" si="22"/>
        <v/>
      </c>
      <c r="U237" s="42" t="str">
        <f t="shared" si="23"/>
        <v/>
      </c>
      <c r="V237" s="45">
        <f>(SUM($O$2:O237)-SUM($I$2:I237))</f>
        <v>-354.94</v>
      </c>
    </row>
    <row r="238" spans="1:22" x14ac:dyDescent="0.2">
      <c r="A238" s="44">
        <v>34</v>
      </c>
      <c r="B238" s="35" t="s">
        <v>88</v>
      </c>
      <c r="C238" s="36">
        <f t="shared" si="24"/>
        <v>46325</v>
      </c>
      <c r="D238" s="35" t="s">
        <v>40</v>
      </c>
      <c r="E238" s="37">
        <v>30</v>
      </c>
      <c r="F238" s="35" t="s">
        <v>32</v>
      </c>
      <c r="G238" s="35" t="s">
        <v>74</v>
      </c>
      <c r="H238" s="37">
        <v>20</v>
      </c>
      <c r="I238" s="38"/>
      <c r="J238" s="38" t="str">
        <f t="shared" si="25"/>
        <v/>
      </c>
      <c r="K238" s="35" t="s">
        <v>58</v>
      </c>
      <c r="L238" s="35"/>
      <c r="M238" s="39"/>
      <c r="N238" s="39"/>
      <c r="O238" s="40"/>
      <c r="P238" s="41"/>
      <c r="Q238" s="41"/>
      <c r="R238" s="42">
        <f t="shared" si="20"/>
        <v>0</v>
      </c>
      <c r="S238" s="43">
        <f t="shared" si="21"/>
        <v>50</v>
      </c>
      <c r="T238" s="43" t="str">
        <f t="shared" si="22"/>
        <v/>
      </c>
      <c r="U238" s="42" t="str">
        <f t="shared" si="23"/>
        <v/>
      </c>
      <c r="V238" s="45">
        <f>(SUM($O$2:O238)-SUM($I$2:I238))</f>
        <v>-354.94</v>
      </c>
    </row>
    <row r="239" spans="1:22" x14ac:dyDescent="0.2">
      <c r="A239" s="44">
        <v>34</v>
      </c>
      <c r="B239" s="35" t="s">
        <v>88</v>
      </c>
      <c r="C239" s="36">
        <f t="shared" si="24"/>
        <v>46326</v>
      </c>
      <c r="D239" s="35" t="s">
        <v>44</v>
      </c>
      <c r="E239" s="37">
        <v>20</v>
      </c>
      <c r="F239" s="35" t="s">
        <v>45</v>
      </c>
      <c r="G239" s="35" t="s">
        <v>75</v>
      </c>
      <c r="H239" s="37">
        <v>30</v>
      </c>
      <c r="I239" s="38">
        <v>1.5</v>
      </c>
      <c r="J239" s="38" t="str">
        <f t="shared" si="25"/>
        <v>20:00</v>
      </c>
      <c r="K239" s="35" t="s">
        <v>60</v>
      </c>
      <c r="L239" s="35"/>
      <c r="M239" s="39"/>
      <c r="N239" s="39"/>
      <c r="O239" s="40"/>
      <c r="P239" s="41"/>
      <c r="Q239" s="41"/>
      <c r="R239" s="42">
        <f t="shared" si="20"/>
        <v>0</v>
      </c>
      <c r="S239" s="43">
        <f t="shared" si="21"/>
        <v>50</v>
      </c>
      <c r="T239" s="43" t="str">
        <f t="shared" si="22"/>
        <v/>
      </c>
      <c r="U239" s="42" t="str">
        <f t="shared" si="23"/>
        <v/>
      </c>
      <c r="V239" s="45">
        <f>(SUM($O$2:O239)-SUM($I$2:I239))</f>
        <v>-356.44</v>
      </c>
    </row>
    <row r="240" spans="1:22" x14ac:dyDescent="0.2">
      <c r="A240" s="44">
        <v>35</v>
      </c>
      <c r="B240" s="35" t="s">
        <v>88</v>
      </c>
      <c r="C240" s="36">
        <f t="shared" si="24"/>
        <v>46327</v>
      </c>
      <c r="D240" s="35" t="s">
        <v>22</v>
      </c>
      <c r="E240" s="37">
        <v>40</v>
      </c>
      <c r="F240" s="35" t="s">
        <v>85</v>
      </c>
      <c r="G240" s="35" t="s">
        <v>90</v>
      </c>
      <c r="H240" s="37">
        <v>138</v>
      </c>
      <c r="I240" s="38">
        <v>10</v>
      </c>
      <c r="J240" s="38" t="str">
        <f t="shared" si="25"/>
        <v>13:48</v>
      </c>
      <c r="K240" s="35" t="s">
        <v>87</v>
      </c>
      <c r="L240" s="35"/>
      <c r="M240" s="39"/>
      <c r="N240" s="39"/>
      <c r="O240" s="40"/>
      <c r="P240" s="41"/>
      <c r="Q240" s="41"/>
      <c r="R240" s="42">
        <f t="shared" si="20"/>
        <v>0</v>
      </c>
      <c r="S240" s="43">
        <f t="shared" si="21"/>
        <v>178</v>
      </c>
      <c r="T240" s="43" t="str">
        <f t="shared" si="22"/>
        <v/>
      </c>
      <c r="U240" s="42" t="str">
        <f t="shared" si="23"/>
        <v/>
      </c>
      <c r="V240" s="45">
        <f>(SUM($O$2:O240)-SUM($I$2:I240))</f>
        <v>-366.44</v>
      </c>
    </row>
    <row r="241" spans="1:22" x14ac:dyDescent="0.2">
      <c r="A241" s="44">
        <v>35</v>
      </c>
      <c r="B241" s="35" t="s">
        <v>88</v>
      </c>
      <c r="C241" s="36">
        <f t="shared" si="24"/>
        <v>46328</v>
      </c>
      <c r="D241" s="35" t="s">
        <v>27</v>
      </c>
      <c r="E241" s="37">
        <v>0</v>
      </c>
      <c r="F241" s="35" t="s">
        <v>48</v>
      </c>
      <c r="G241" s="35" t="s">
        <v>51</v>
      </c>
      <c r="H241" s="37">
        <v>0</v>
      </c>
      <c r="I241" s="38">
        <v>0</v>
      </c>
      <c r="J241" s="38" t="str">
        <f t="shared" si="25"/>
        <v/>
      </c>
      <c r="K241" s="35" t="s">
        <v>39</v>
      </c>
      <c r="L241" s="35" t="s">
        <v>43</v>
      </c>
      <c r="M241" s="39"/>
      <c r="N241" s="39"/>
      <c r="O241" s="40"/>
      <c r="P241" s="41"/>
      <c r="Q241" s="41"/>
      <c r="R241" s="42">
        <f t="shared" si="20"/>
        <v>1</v>
      </c>
      <c r="S241" s="43">
        <f t="shared" si="21"/>
        <v>0</v>
      </c>
      <c r="T241" s="43" t="str">
        <f t="shared" si="22"/>
        <v/>
      </c>
      <c r="U241" s="42" t="str">
        <f t="shared" si="23"/>
        <v/>
      </c>
      <c r="V241" s="45">
        <f>(SUM($O$2:O241)-SUM($I$2:I241))</f>
        <v>-366.44</v>
      </c>
    </row>
    <row r="242" spans="1:22" x14ac:dyDescent="0.2">
      <c r="A242" s="44">
        <v>35</v>
      </c>
      <c r="B242" s="35" t="s">
        <v>88</v>
      </c>
      <c r="C242" s="36">
        <f t="shared" si="24"/>
        <v>46329</v>
      </c>
      <c r="D242" s="35" t="s">
        <v>31</v>
      </c>
      <c r="E242" s="37">
        <v>30</v>
      </c>
      <c r="F242" s="35" t="s">
        <v>28</v>
      </c>
      <c r="G242" s="35" t="s">
        <v>52</v>
      </c>
      <c r="H242" s="37">
        <v>30</v>
      </c>
      <c r="I242" s="38">
        <v>1.5</v>
      </c>
      <c r="J242" s="38" t="str">
        <f t="shared" si="25"/>
        <v>20:00</v>
      </c>
      <c r="K242" s="35" t="s">
        <v>53</v>
      </c>
      <c r="L242" s="35"/>
      <c r="M242" s="39"/>
      <c r="N242" s="39"/>
      <c r="O242" s="40"/>
      <c r="P242" s="41"/>
      <c r="Q242" s="41"/>
      <c r="R242" s="42">
        <f t="shared" si="20"/>
        <v>0</v>
      </c>
      <c r="S242" s="43">
        <f t="shared" si="21"/>
        <v>60</v>
      </c>
      <c r="T242" s="43" t="str">
        <f t="shared" si="22"/>
        <v/>
      </c>
      <c r="U242" s="42" t="str">
        <f t="shared" si="23"/>
        <v/>
      </c>
      <c r="V242" s="45">
        <f>(SUM($O$2:O242)-SUM($I$2:I242))</f>
        <v>-367.94</v>
      </c>
    </row>
    <row r="243" spans="1:22" x14ac:dyDescent="0.2">
      <c r="A243" s="44">
        <v>35</v>
      </c>
      <c r="B243" s="35" t="s">
        <v>88</v>
      </c>
      <c r="C243" s="36">
        <f t="shared" si="24"/>
        <v>46330</v>
      </c>
      <c r="D243" s="35" t="s">
        <v>35</v>
      </c>
      <c r="E243" s="37">
        <v>40</v>
      </c>
      <c r="F243" s="35" t="s">
        <v>32</v>
      </c>
      <c r="G243" s="35" t="s">
        <v>54</v>
      </c>
      <c r="H243" s="37">
        <v>25</v>
      </c>
      <c r="I243" s="38"/>
      <c r="J243" s="38" t="str">
        <f t="shared" si="25"/>
        <v/>
      </c>
      <c r="K243" s="35" t="s">
        <v>55</v>
      </c>
      <c r="L243" s="35"/>
      <c r="M243" s="39"/>
      <c r="N243" s="39"/>
      <c r="O243" s="40"/>
      <c r="P243" s="41"/>
      <c r="Q243" s="41"/>
      <c r="R243" s="42">
        <f t="shared" si="20"/>
        <v>0</v>
      </c>
      <c r="S243" s="43">
        <f t="shared" si="21"/>
        <v>65</v>
      </c>
      <c r="T243" s="43" t="str">
        <f t="shared" si="22"/>
        <v/>
      </c>
      <c r="U243" s="42" t="str">
        <f t="shared" si="23"/>
        <v/>
      </c>
      <c r="V243" s="45">
        <f>(SUM($O$2:O243)-SUM($I$2:I243))</f>
        <v>-367.94</v>
      </c>
    </row>
    <row r="244" spans="1:22" x14ac:dyDescent="0.2">
      <c r="A244" s="44">
        <v>35</v>
      </c>
      <c r="B244" s="35" t="s">
        <v>88</v>
      </c>
      <c r="C244" s="36">
        <f t="shared" si="24"/>
        <v>46331</v>
      </c>
      <c r="D244" s="35" t="s">
        <v>37</v>
      </c>
      <c r="E244" s="37">
        <v>15</v>
      </c>
      <c r="F244" s="35" t="s">
        <v>28</v>
      </c>
      <c r="G244" s="35" t="s">
        <v>56</v>
      </c>
      <c r="H244" s="37">
        <v>66</v>
      </c>
      <c r="I244" s="38">
        <v>5</v>
      </c>
      <c r="J244" s="38" t="str">
        <f t="shared" si="25"/>
        <v>13:12</v>
      </c>
      <c r="K244" s="35" t="s">
        <v>30</v>
      </c>
      <c r="L244" s="35"/>
      <c r="M244" s="39"/>
      <c r="N244" s="39"/>
      <c r="O244" s="40"/>
      <c r="P244" s="41"/>
      <c r="Q244" s="41"/>
      <c r="R244" s="42">
        <f t="shared" si="20"/>
        <v>0</v>
      </c>
      <c r="S244" s="43">
        <f t="shared" si="21"/>
        <v>81</v>
      </c>
      <c r="T244" s="43" t="str">
        <f t="shared" si="22"/>
        <v/>
      </c>
      <c r="U244" s="42" t="str">
        <f t="shared" si="23"/>
        <v/>
      </c>
      <c r="V244" s="45">
        <f>(SUM($O$2:O244)-SUM($I$2:I244))</f>
        <v>-372.94</v>
      </c>
    </row>
    <row r="245" spans="1:22" x14ac:dyDescent="0.2">
      <c r="A245" s="44">
        <v>35</v>
      </c>
      <c r="B245" s="35" t="s">
        <v>88</v>
      </c>
      <c r="C245" s="36">
        <f t="shared" si="24"/>
        <v>46332</v>
      </c>
      <c r="D245" s="35" t="s">
        <v>40</v>
      </c>
      <c r="E245" s="37">
        <v>50</v>
      </c>
      <c r="F245" s="35" t="s">
        <v>23</v>
      </c>
      <c r="G245" s="35" t="s">
        <v>57</v>
      </c>
      <c r="H245" s="37">
        <v>20</v>
      </c>
      <c r="I245" s="38"/>
      <c r="J245" s="38" t="str">
        <f t="shared" si="25"/>
        <v/>
      </c>
      <c r="K245" s="35" t="s">
        <v>58</v>
      </c>
      <c r="L245" s="35"/>
      <c r="M245" s="39"/>
      <c r="N245" s="39"/>
      <c r="O245" s="40"/>
      <c r="P245" s="41"/>
      <c r="Q245" s="41"/>
      <c r="R245" s="42">
        <f t="shared" si="20"/>
        <v>0</v>
      </c>
      <c r="S245" s="43">
        <f t="shared" si="21"/>
        <v>70</v>
      </c>
      <c r="T245" s="43" t="str">
        <f t="shared" si="22"/>
        <v/>
      </c>
      <c r="U245" s="42" t="str">
        <f t="shared" si="23"/>
        <v/>
      </c>
      <c r="V245" s="45">
        <f>(SUM($O$2:O245)-SUM($I$2:I245))</f>
        <v>-372.94</v>
      </c>
    </row>
    <row r="246" spans="1:22" x14ac:dyDescent="0.2">
      <c r="A246" s="44">
        <v>35</v>
      </c>
      <c r="B246" s="35" t="s">
        <v>88</v>
      </c>
      <c r="C246" s="36">
        <f t="shared" si="24"/>
        <v>46333</v>
      </c>
      <c r="D246" s="35" t="s">
        <v>44</v>
      </c>
      <c r="E246" s="37">
        <v>15</v>
      </c>
      <c r="F246" s="35" t="s">
        <v>45</v>
      </c>
      <c r="G246" s="35" t="s">
        <v>59</v>
      </c>
      <c r="H246" s="37">
        <v>30</v>
      </c>
      <c r="I246" s="38">
        <v>1.5</v>
      </c>
      <c r="J246" s="38" t="str">
        <f t="shared" si="25"/>
        <v>20:00</v>
      </c>
      <c r="K246" s="35" t="s">
        <v>60</v>
      </c>
      <c r="L246" s="35"/>
      <c r="M246" s="39"/>
      <c r="N246" s="39"/>
      <c r="O246" s="40"/>
      <c r="P246" s="41"/>
      <c r="Q246" s="41"/>
      <c r="R246" s="42">
        <f t="shared" si="20"/>
        <v>0</v>
      </c>
      <c r="S246" s="43">
        <f t="shared" si="21"/>
        <v>45</v>
      </c>
      <c r="T246" s="43" t="str">
        <f t="shared" si="22"/>
        <v/>
      </c>
      <c r="U246" s="42" t="str">
        <f t="shared" si="23"/>
        <v/>
      </c>
      <c r="V246" s="45">
        <f>(SUM($O$2:O246)-SUM($I$2:I246))</f>
        <v>-374.44</v>
      </c>
    </row>
    <row r="247" spans="1:22" x14ac:dyDescent="0.2">
      <c r="A247" s="44">
        <v>36</v>
      </c>
      <c r="B247" s="35" t="s">
        <v>88</v>
      </c>
      <c r="C247" s="36">
        <f t="shared" si="24"/>
        <v>46334</v>
      </c>
      <c r="D247" s="35" t="s">
        <v>22</v>
      </c>
      <c r="E247" s="37">
        <v>60</v>
      </c>
      <c r="F247" s="35" t="s">
        <v>85</v>
      </c>
      <c r="G247" s="35" t="s">
        <v>91</v>
      </c>
      <c r="H247" s="37">
        <v>179</v>
      </c>
      <c r="I247" s="38">
        <v>13</v>
      </c>
      <c r="J247" s="38" t="str">
        <f t="shared" si="25"/>
        <v>13:46</v>
      </c>
      <c r="K247" s="35" t="s">
        <v>87</v>
      </c>
      <c r="L247" s="35"/>
      <c r="M247" s="39"/>
      <c r="N247" s="39"/>
      <c r="O247" s="40"/>
      <c r="P247" s="41"/>
      <c r="Q247" s="41"/>
      <c r="R247" s="42">
        <f t="shared" si="20"/>
        <v>0</v>
      </c>
      <c r="S247" s="43">
        <f t="shared" si="21"/>
        <v>239</v>
      </c>
      <c r="T247" s="43" t="str">
        <f t="shared" si="22"/>
        <v/>
      </c>
      <c r="U247" s="42" t="str">
        <f t="shared" si="23"/>
        <v/>
      </c>
      <c r="V247" s="45">
        <f>(SUM($O$2:O247)-SUM($I$2:I247))</f>
        <v>-387.44</v>
      </c>
    </row>
    <row r="248" spans="1:22" x14ac:dyDescent="0.2">
      <c r="A248" s="44">
        <v>36</v>
      </c>
      <c r="B248" s="35" t="s">
        <v>88</v>
      </c>
      <c r="C248" s="36">
        <f t="shared" si="24"/>
        <v>46335</v>
      </c>
      <c r="D248" s="35" t="s">
        <v>27</v>
      </c>
      <c r="E248" s="37">
        <v>0</v>
      </c>
      <c r="F248" s="35" t="s">
        <v>48</v>
      </c>
      <c r="G248" s="35" t="s">
        <v>51</v>
      </c>
      <c r="H248" s="37">
        <v>0</v>
      </c>
      <c r="I248" s="38">
        <v>0</v>
      </c>
      <c r="J248" s="38" t="str">
        <f t="shared" si="25"/>
        <v/>
      </c>
      <c r="K248" s="35" t="s">
        <v>39</v>
      </c>
      <c r="L248" s="35" t="s">
        <v>43</v>
      </c>
      <c r="M248" s="39"/>
      <c r="N248" s="39"/>
      <c r="O248" s="40"/>
      <c r="P248" s="41"/>
      <c r="Q248" s="41"/>
      <c r="R248" s="42">
        <f t="shared" si="20"/>
        <v>1</v>
      </c>
      <c r="S248" s="43">
        <f t="shared" si="21"/>
        <v>0</v>
      </c>
      <c r="T248" s="43" t="str">
        <f t="shared" si="22"/>
        <v/>
      </c>
      <c r="U248" s="42" t="str">
        <f t="shared" si="23"/>
        <v/>
      </c>
      <c r="V248" s="45">
        <f>(SUM($O$2:O248)-SUM($I$2:I248))</f>
        <v>-387.44</v>
      </c>
    </row>
    <row r="249" spans="1:22" x14ac:dyDescent="0.2">
      <c r="A249" s="44">
        <v>36</v>
      </c>
      <c r="B249" s="35" t="s">
        <v>88</v>
      </c>
      <c r="C249" s="36">
        <f t="shared" si="24"/>
        <v>46336</v>
      </c>
      <c r="D249" s="35" t="s">
        <v>31</v>
      </c>
      <c r="E249" s="37">
        <v>40</v>
      </c>
      <c r="F249" s="35" t="s">
        <v>23</v>
      </c>
      <c r="G249" s="35" t="s">
        <v>61</v>
      </c>
      <c r="H249" s="37">
        <v>30</v>
      </c>
      <c r="I249" s="38"/>
      <c r="J249" s="38" t="str">
        <f t="shared" si="25"/>
        <v/>
      </c>
      <c r="K249" s="35" t="s">
        <v>53</v>
      </c>
      <c r="L249" s="35"/>
      <c r="M249" s="39"/>
      <c r="N249" s="39"/>
      <c r="O249" s="40"/>
      <c r="P249" s="41"/>
      <c r="Q249" s="41"/>
      <c r="R249" s="42">
        <f t="shared" si="20"/>
        <v>0</v>
      </c>
      <c r="S249" s="43">
        <f t="shared" si="21"/>
        <v>70</v>
      </c>
      <c r="T249" s="43" t="str">
        <f t="shared" si="22"/>
        <v/>
      </c>
      <c r="U249" s="42" t="str">
        <f t="shared" si="23"/>
        <v/>
      </c>
      <c r="V249" s="45">
        <f>(SUM($O$2:O249)-SUM($I$2:I249))</f>
        <v>-387.44</v>
      </c>
    </row>
    <row r="250" spans="1:22" x14ac:dyDescent="0.2">
      <c r="A250" s="44">
        <v>36</v>
      </c>
      <c r="B250" s="35" t="s">
        <v>88</v>
      </c>
      <c r="C250" s="36">
        <f t="shared" si="24"/>
        <v>46337</v>
      </c>
      <c r="D250" s="35" t="s">
        <v>35</v>
      </c>
      <c r="E250" s="37">
        <v>50</v>
      </c>
      <c r="F250" s="35" t="s">
        <v>23</v>
      </c>
      <c r="G250" s="35" t="s">
        <v>24</v>
      </c>
      <c r="H250" s="37">
        <v>30</v>
      </c>
      <c r="I250" s="38"/>
      <c r="J250" s="38" t="str">
        <f t="shared" si="25"/>
        <v/>
      </c>
      <c r="K250" s="35" t="s">
        <v>55</v>
      </c>
      <c r="L250" s="35"/>
      <c r="M250" s="39"/>
      <c r="N250" s="39"/>
      <c r="O250" s="40"/>
      <c r="P250" s="41"/>
      <c r="Q250" s="41"/>
      <c r="R250" s="42">
        <f t="shared" si="20"/>
        <v>0</v>
      </c>
      <c r="S250" s="43">
        <f t="shared" si="21"/>
        <v>80</v>
      </c>
      <c r="T250" s="43" t="str">
        <f t="shared" si="22"/>
        <v/>
      </c>
      <c r="U250" s="42" t="str">
        <f t="shared" si="23"/>
        <v/>
      </c>
      <c r="V250" s="45">
        <f>(SUM($O$2:O250)-SUM($I$2:I250))</f>
        <v>-387.44</v>
      </c>
    </row>
    <row r="251" spans="1:22" x14ac:dyDescent="0.2">
      <c r="A251" s="44">
        <v>36</v>
      </c>
      <c r="B251" s="35" t="s">
        <v>88</v>
      </c>
      <c r="C251" s="36">
        <f t="shared" si="24"/>
        <v>46338</v>
      </c>
      <c r="D251" s="35" t="s">
        <v>37</v>
      </c>
      <c r="E251" s="37">
        <v>15</v>
      </c>
      <c r="F251" s="35" t="s">
        <v>28</v>
      </c>
      <c r="G251" s="35" t="s">
        <v>62</v>
      </c>
      <c r="H251" s="37">
        <v>79</v>
      </c>
      <c r="I251" s="38">
        <v>6</v>
      </c>
      <c r="J251" s="38" t="str">
        <f t="shared" si="25"/>
        <v>13:10</v>
      </c>
      <c r="K251" s="35" t="s">
        <v>30</v>
      </c>
      <c r="L251" s="35"/>
      <c r="M251" s="39"/>
      <c r="N251" s="39"/>
      <c r="O251" s="40"/>
      <c r="P251" s="41"/>
      <c r="Q251" s="41"/>
      <c r="R251" s="42">
        <f t="shared" si="20"/>
        <v>0</v>
      </c>
      <c r="S251" s="43">
        <f t="shared" si="21"/>
        <v>94</v>
      </c>
      <c r="T251" s="43" t="str">
        <f t="shared" si="22"/>
        <v/>
      </c>
      <c r="U251" s="42" t="str">
        <f t="shared" si="23"/>
        <v/>
      </c>
      <c r="V251" s="45">
        <f>(SUM($O$2:O251)-SUM($I$2:I251))</f>
        <v>-393.44</v>
      </c>
    </row>
    <row r="252" spans="1:22" x14ac:dyDescent="0.2">
      <c r="A252" s="44">
        <v>36</v>
      </c>
      <c r="B252" s="35" t="s">
        <v>88</v>
      </c>
      <c r="C252" s="36">
        <f t="shared" si="24"/>
        <v>46339</v>
      </c>
      <c r="D252" s="35" t="s">
        <v>40</v>
      </c>
      <c r="E252" s="37">
        <v>60</v>
      </c>
      <c r="F252" s="35" t="s">
        <v>32</v>
      </c>
      <c r="G252" s="35" t="s">
        <v>63</v>
      </c>
      <c r="H252" s="37">
        <v>20</v>
      </c>
      <c r="I252" s="38"/>
      <c r="J252" s="38" t="str">
        <f t="shared" si="25"/>
        <v/>
      </c>
      <c r="K252" s="35" t="s">
        <v>58</v>
      </c>
      <c r="L252" s="35"/>
      <c r="M252" s="39"/>
      <c r="N252" s="39"/>
      <c r="O252" s="40"/>
      <c r="P252" s="41"/>
      <c r="Q252" s="41"/>
      <c r="R252" s="42">
        <f t="shared" si="20"/>
        <v>0</v>
      </c>
      <c r="S252" s="43">
        <f t="shared" si="21"/>
        <v>80</v>
      </c>
      <c r="T252" s="43" t="str">
        <f t="shared" si="22"/>
        <v/>
      </c>
      <c r="U252" s="42" t="str">
        <f t="shared" si="23"/>
        <v/>
      </c>
      <c r="V252" s="45">
        <f>(SUM($O$2:O252)-SUM($I$2:I252))</f>
        <v>-393.44</v>
      </c>
    </row>
    <row r="253" spans="1:22" x14ac:dyDescent="0.2">
      <c r="A253" s="44">
        <v>36</v>
      </c>
      <c r="B253" s="35" t="s">
        <v>88</v>
      </c>
      <c r="C253" s="36">
        <f t="shared" si="24"/>
        <v>46340</v>
      </c>
      <c r="D253" s="35" t="s">
        <v>44</v>
      </c>
      <c r="E253" s="37">
        <v>20</v>
      </c>
      <c r="F253" s="35" t="s">
        <v>45</v>
      </c>
      <c r="G253" s="35" t="s">
        <v>64</v>
      </c>
      <c r="H253" s="37">
        <v>30</v>
      </c>
      <c r="I253" s="38">
        <v>1.5</v>
      </c>
      <c r="J253" s="38" t="str">
        <f t="shared" si="25"/>
        <v>20:00</v>
      </c>
      <c r="K253" s="35" t="s">
        <v>60</v>
      </c>
      <c r="L253" s="35"/>
      <c r="M253" s="39"/>
      <c r="N253" s="39"/>
      <c r="O253" s="40"/>
      <c r="P253" s="41"/>
      <c r="Q253" s="41"/>
      <c r="R253" s="42">
        <f t="shared" si="20"/>
        <v>0</v>
      </c>
      <c r="S253" s="43">
        <f t="shared" si="21"/>
        <v>50</v>
      </c>
      <c r="T253" s="43" t="str">
        <f t="shared" si="22"/>
        <v/>
      </c>
      <c r="U253" s="42" t="str">
        <f t="shared" si="23"/>
        <v/>
      </c>
      <c r="V253" s="45">
        <f>(SUM($O$2:O253)-SUM($I$2:I253))</f>
        <v>-394.94</v>
      </c>
    </row>
    <row r="254" spans="1:22" x14ac:dyDescent="0.2">
      <c r="A254" s="44">
        <v>37</v>
      </c>
      <c r="B254" s="35" t="s">
        <v>92</v>
      </c>
      <c r="C254" s="36">
        <f t="shared" si="24"/>
        <v>46341</v>
      </c>
      <c r="D254" s="35" t="s">
        <v>22</v>
      </c>
      <c r="E254" s="37">
        <v>40</v>
      </c>
      <c r="F254" s="35" t="s">
        <v>85</v>
      </c>
      <c r="G254" s="35" t="s">
        <v>93</v>
      </c>
      <c r="H254" s="37">
        <v>193</v>
      </c>
      <c r="I254" s="38">
        <v>14</v>
      </c>
      <c r="J254" s="38" t="str">
        <f t="shared" si="25"/>
        <v>13:47</v>
      </c>
      <c r="K254" s="35" t="s">
        <v>87</v>
      </c>
      <c r="L254" s="35"/>
      <c r="M254" s="39"/>
      <c r="N254" s="39"/>
      <c r="O254" s="40"/>
      <c r="P254" s="41"/>
      <c r="Q254" s="41"/>
      <c r="R254" s="42">
        <f t="shared" si="20"/>
        <v>0</v>
      </c>
      <c r="S254" s="43">
        <f t="shared" si="21"/>
        <v>233</v>
      </c>
      <c r="T254" s="43" t="str">
        <f t="shared" si="22"/>
        <v/>
      </c>
      <c r="U254" s="42" t="str">
        <f t="shared" si="23"/>
        <v/>
      </c>
      <c r="V254" s="45">
        <f>(SUM($O$2:O254)-SUM($I$2:I254))</f>
        <v>-408.94</v>
      </c>
    </row>
    <row r="255" spans="1:22" x14ac:dyDescent="0.2">
      <c r="A255" s="44">
        <v>37</v>
      </c>
      <c r="B255" s="35" t="s">
        <v>92</v>
      </c>
      <c r="C255" s="36">
        <f t="shared" si="24"/>
        <v>46342</v>
      </c>
      <c r="D255" s="35" t="s">
        <v>27</v>
      </c>
      <c r="E255" s="37">
        <v>0</v>
      </c>
      <c r="F255" s="35" t="s">
        <v>48</v>
      </c>
      <c r="G255" s="35" t="s">
        <v>51</v>
      </c>
      <c r="H255" s="37">
        <v>0</v>
      </c>
      <c r="I255" s="38">
        <v>0</v>
      </c>
      <c r="J255" s="38" t="str">
        <f t="shared" si="25"/>
        <v/>
      </c>
      <c r="K255" s="35" t="s">
        <v>39</v>
      </c>
      <c r="L255" s="35" t="s">
        <v>43</v>
      </c>
      <c r="M255" s="39"/>
      <c r="N255" s="39"/>
      <c r="O255" s="40"/>
      <c r="P255" s="41"/>
      <c r="Q255" s="41"/>
      <c r="R255" s="42">
        <f t="shared" si="20"/>
        <v>1</v>
      </c>
      <c r="S255" s="43">
        <f t="shared" si="21"/>
        <v>0</v>
      </c>
      <c r="T255" s="43" t="str">
        <f t="shared" si="22"/>
        <v/>
      </c>
      <c r="U255" s="42" t="str">
        <f t="shared" si="23"/>
        <v/>
      </c>
      <c r="V255" s="45">
        <f>(SUM($O$2:O255)-SUM($I$2:I255))</f>
        <v>-408.94</v>
      </c>
    </row>
    <row r="256" spans="1:22" x14ac:dyDescent="0.2">
      <c r="A256" s="44">
        <v>37</v>
      </c>
      <c r="B256" s="35" t="s">
        <v>92</v>
      </c>
      <c r="C256" s="36">
        <f t="shared" si="24"/>
        <v>46343</v>
      </c>
      <c r="D256" s="35" t="s">
        <v>31</v>
      </c>
      <c r="E256" s="37">
        <v>50</v>
      </c>
      <c r="F256" s="35" t="s">
        <v>32</v>
      </c>
      <c r="G256" s="35" t="s">
        <v>66</v>
      </c>
      <c r="H256" s="37">
        <v>25</v>
      </c>
      <c r="I256" s="38"/>
      <c r="J256" s="38" t="str">
        <f t="shared" si="25"/>
        <v/>
      </c>
      <c r="K256" s="35" t="s">
        <v>53</v>
      </c>
      <c r="L256" s="35"/>
      <c r="M256" s="39"/>
      <c r="N256" s="39"/>
      <c r="O256" s="40"/>
      <c r="P256" s="41"/>
      <c r="Q256" s="41"/>
      <c r="R256" s="42">
        <f t="shared" si="20"/>
        <v>0</v>
      </c>
      <c r="S256" s="43">
        <f t="shared" si="21"/>
        <v>75</v>
      </c>
      <c r="T256" s="43" t="str">
        <f t="shared" si="22"/>
        <v/>
      </c>
      <c r="U256" s="42" t="str">
        <f t="shared" si="23"/>
        <v/>
      </c>
      <c r="V256" s="45">
        <f>(SUM($O$2:O256)-SUM($I$2:I256))</f>
        <v>-408.94</v>
      </c>
    </row>
    <row r="257" spans="1:22" x14ac:dyDescent="0.2">
      <c r="A257" s="44">
        <v>37</v>
      </c>
      <c r="B257" s="35" t="s">
        <v>92</v>
      </c>
      <c r="C257" s="36">
        <f t="shared" si="24"/>
        <v>46344</v>
      </c>
      <c r="D257" s="35" t="s">
        <v>35</v>
      </c>
      <c r="E257" s="37">
        <v>60</v>
      </c>
      <c r="F257" s="35" t="s">
        <v>32</v>
      </c>
      <c r="G257" s="35" t="s">
        <v>67</v>
      </c>
      <c r="H257" s="37">
        <v>30</v>
      </c>
      <c r="I257" s="38"/>
      <c r="J257" s="38" t="str">
        <f t="shared" si="25"/>
        <v/>
      </c>
      <c r="K257" s="35" t="s">
        <v>55</v>
      </c>
      <c r="L257" s="35"/>
      <c r="M257" s="39"/>
      <c r="N257" s="39"/>
      <c r="O257" s="40"/>
      <c r="P257" s="41"/>
      <c r="Q257" s="41"/>
      <c r="R257" s="42">
        <f t="shared" si="20"/>
        <v>0</v>
      </c>
      <c r="S257" s="43">
        <f t="shared" si="21"/>
        <v>90</v>
      </c>
      <c r="T257" s="43" t="str">
        <f t="shared" si="22"/>
        <v/>
      </c>
      <c r="U257" s="42" t="str">
        <f t="shared" si="23"/>
        <v/>
      </c>
      <c r="V257" s="45">
        <f>(SUM($O$2:O257)-SUM($I$2:I257))</f>
        <v>-408.94</v>
      </c>
    </row>
    <row r="258" spans="1:22" x14ac:dyDescent="0.2">
      <c r="A258" s="44">
        <v>37</v>
      </c>
      <c r="B258" s="35" t="s">
        <v>92</v>
      </c>
      <c r="C258" s="36">
        <f t="shared" si="24"/>
        <v>46345</v>
      </c>
      <c r="D258" s="35" t="s">
        <v>37</v>
      </c>
      <c r="E258" s="37">
        <v>10</v>
      </c>
      <c r="F258" s="35" t="s">
        <v>28</v>
      </c>
      <c r="G258" s="35" t="s">
        <v>68</v>
      </c>
      <c r="H258" s="37">
        <v>78</v>
      </c>
      <c r="I258" s="38">
        <v>6</v>
      </c>
      <c r="J258" s="38" t="str">
        <f t="shared" si="25"/>
        <v>13:00</v>
      </c>
      <c r="K258" s="35" t="s">
        <v>30</v>
      </c>
      <c r="L258" s="35"/>
      <c r="M258" s="39"/>
      <c r="N258" s="39"/>
      <c r="O258" s="40"/>
      <c r="P258" s="41"/>
      <c r="Q258" s="41"/>
      <c r="R258" s="42">
        <f t="shared" ref="R258:R321" si="26">IF(L258="Done",1,IF(L258="Partial",0.5,IF(L258="Rest",1,0)))</f>
        <v>0</v>
      </c>
      <c r="S258" s="43">
        <f t="shared" ref="S258:S321" si="27">E258+H258</f>
        <v>88</v>
      </c>
      <c r="T258" s="43" t="str">
        <f t="shared" ref="T258:T321" si="28">IF(OR(M258&lt;&gt;"",N258&lt;&gt;""),M258+N258,"")</f>
        <v/>
      </c>
      <c r="U258" s="42" t="str">
        <f t="shared" ref="U258:U321" si="29">IF(O258="","",O258-I258)</f>
        <v/>
      </c>
      <c r="V258" s="45">
        <f>(SUM($O$2:O258)-SUM($I$2:I258))</f>
        <v>-414.94</v>
      </c>
    </row>
    <row r="259" spans="1:22" x14ac:dyDescent="0.2">
      <c r="A259" s="44">
        <v>37</v>
      </c>
      <c r="B259" s="35" t="s">
        <v>92</v>
      </c>
      <c r="C259" s="36">
        <f t="shared" ref="C259:C322" si="30">C258+1</f>
        <v>46346</v>
      </c>
      <c r="D259" s="35" t="s">
        <v>40</v>
      </c>
      <c r="E259" s="37">
        <v>40</v>
      </c>
      <c r="F259" s="35" t="s">
        <v>23</v>
      </c>
      <c r="G259" s="35" t="s">
        <v>69</v>
      </c>
      <c r="H259" s="37">
        <v>25</v>
      </c>
      <c r="I259" s="38"/>
      <c r="J259" s="38" t="str">
        <f t="shared" si="25"/>
        <v/>
      </c>
      <c r="K259" s="35" t="s">
        <v>58</v>
      </c>
      <c r="L259" s="35"/>
      <c r="M259" s="39"/>
      <c r="N259" s="39"/>
      <c r="O259" s="40"/>
      <c r="P259" s="41"/>
      <c r="Q259" s="41"/>
      <c r="R259" s="42">
        <f t="shared" si="26"/>
        <v>0</v>
      </c>
      <c r="S259" s="43">
        <f t="shared" si="27"/>
        <v>65</v>
      </c>
      <c r="T259" s="43" t="str">
        <f t="shared" si="28"/>
        <v/>
      </c>
      <c r="U259" s="42" t="str">
        <f t="shared" si="29"/>
        <v/>
      </c>
      <c r="V259" s="45">
        <f>(SUM($O$2:O259)-SUM($I$2:I259))</f>
        <v>-414.94</v>
      </c>
    </row>
    <row r="260" spans="1:22" x14ac:dyDescent="0.2">
      <c r="A260" s="44">
        <v>37</v>
      </c>
      <c r="B260" s="35" t="s">
        <v>92</v>
      </c>
      <c r="C260" s="36">
        <f t="shared" si="30"/>
        <v>46347</v>
      </c>
      <c r="D260" s="35" t="s">
        <v>44</v>
      </c>
      <c r="E260" s="37">
        <v>15</v>
      </c>
      <c r="F260" s="35" t="s">
        <v>28</v>
      </c>
      <c r="G260" s="35" t="s">
        <v>70</v>
      </c>
      <c r="H260" s="37">
        <v>30</v>
      </c>
      <c r="I260" s="38">
        <v>1.5</v>
      </c>
      <c r="J260" s="38" t="str">
        <f t="shared" ref="J260:J323" si="31">IFERROR(TEXT(H260 / I260 / 1440, "m:ss"),"")</f>
        <v>20:00</v>
      </c>
      <c r="K260" s="35" t="s">
        <v>60</v>
      </c>
      <c r="L260" s="35"/>
      <c r="M260" s="39"/>
      <c r="N260" s="39"/>
      <c r="O260" s="40"/>
      <c r="P260" s="41"/>
      <c r="Q260" s="41"/>
      <c r="R260" s="42">
        <f t="shared" si="26"/>
        <v>0</v>
      </c>
      <c r="S260" s="43">
        <f t="shared" si="27"/>
        <v>45</v>
      </c>
      <c r="T260" s="43" t="str">
        <f t="shared" si="28"/>
        <v/>
      </c>
      <c r="U260" s="42" t="str">
        <f t="shared" si="29"/>
        <v/>
      </c>
      <c r="V260" s="45">
        <f>(SUM($O$2:O260)-SUM($I$2:I260))</f>
        <v>-416.44</v>
      </c>
    </row>
    <row r="261" spans="1:22" x14ac:dyDescent="0.2">
      <c r="A261" s="44">
        <v>38</v>
      </c>
      <c r="B261" s="35" t="s">
        <v>92</v>
      </c>
      <c r="C261" s="36">
        <f t="shared" si="30"/>
        <v>46348</v>
      </c>
      <c r="D261" s="35" t="s">
        <v>22</v>
      </c>
      <c r="E261" s="37">
        <v>60</v>
      </c>
      <c r="F261" s="35" t="s">
        <v>85</v>
      </c>
      <c r="G261" s="35" t="s">
        <v>93</v>
      </c>
      <c r="H261" s="37">
        <v>207</v>
      </c>
      <c r="I261" s="38">
        <v>15</v>
      </c>
      <c r="J261" s="38" t="str">
        <f t="shared" si="31"/>
        <v>13:48</v>
      </c>
      <c r="K261" s="35" t="s">
        <v>87</v>
      </c>
      <c r="L261" s="35"/>
      <c r="M261" s="39"/>
      <c r="N261" s="39"/>
      <c r="O261" s="40"/>
      <c r="P261" s="41"/>
      <c r="Q261" s="41"/>
      <c r="R261" s="42">
        <f t="shared" si="26"/>
        <v>0</v>
      </c>
      <c r="S261" s="43">
        <f t="shared" si="27"/>
        <v>267</v>
      </c>
      <c r="T261" s="43" t="str">
        <f t="shared" si="28"/>
        <v/>
      </c>
      <c r="U261" s="42" t="str">
        <f t="shared" si="29"/>
        <v/>
      </c>
      <c r="V261" s="45">
        <f>(SUM($O$2:O261)-SUM($I$2:I261))</f>
        <v>-431.44</v>
      </c>
    </row>
    <row r="262" spans="1:22" x14ac:dyDescent="0.2">
      <c r="A262" s="44">
        <v>38</v>
      </c>
      <c r="B262" s="35" t="s">
        <v>92</v>
      </c>
      <c r="C262" s="36">
        <f t="shared" si="30"/>
        <v>46349</v>
      </c>
      <c r="D262" s="35" t="s">
        <v>27</v>
      </c>
      <c r="E262" s="37">
        <v>0</v>
      </c>
      <c r="F262" s="35" t="s">
        <v>48</v>
      </c>
      <c r="G262" s="35" t="s">
        <v>51</v>
      </c>
      <c r="H262" s="37">
        <v>0</v>
      </c>
      <c r="I262" s="38">
        <v>0</v>
      </c>
      <c r="J262" s="38" t="str">
        <f t="shared" si="31"/>
        <v/>
      </c>
      <c r="K262" s="35" t="s">
        <v>39</v>
      </c>
      <c r="L262" s="35" t="s">
        <v>43</v>
      </c>
      <c r="M262" s="39"/>
      <c r="N262" s="39"/>
      <c r="O262" s="40"/>
      <c r="P262" s="41"/>
      <c r="Q262" s="41"/>
      <c r="R262" s="42">
        <f t="shared" si="26"/>
        <v>1</v>
      </c>
      <c r="S262" s="43">
        <f t="shared" si="27"/>
        <v>0</v>
      </c>
      <c r="T262" s="43" t="str">
        <f t="shared" si="28"/>
        <v/>
      </c>
      <c r="U262" s="42" t="str">
        <f t="shared" si="29"/>
        <v/>
      </c>
      <c r="V262" s="45">
        <f>(SUM($O$2:O262)-SUM($I$2:I262))</f>
        <v>-431.44</v>
      </c>
    </row>
    <row r="263" spans="1:22" x14ac:dyDescent="0.2">
      <c r="A263" s="44">
        <v>38</v>
      </c>
      <c r="B263" s="35" t="s">
        <v>92</v>
      </c>
      <c r="C263" s="36">
        <f t="shared" si="30"/>
        <v>46350</v>
      </c>
      <c r="D263" s="35" t="s">
        <v>31</v>
      </c>
      <c r="E263" s="37">
        <v>60</v>
      </c>
      <c r="F263" s="35" t="s">
        <v>28</v>
      </c>
      <c r="G263" s="35" t="s">
        <v>71</v>
      </c>
      <c r="H263" s="37">
        <v>35</v>
      </c>
      <c r="I263" s="38">
        <v>1.8</v>
      </c>
      <c r="J263" s="38" t="str">
        <f t="shared" si="31"/>
        <v>19:27</v>
      </c>
      <c r="K263" s="35" t="s">
        <v>53</v>
      </c>
      <c r="L263" s="35"/>
      <c r="M263" s="39"/>
      <c r="N263" s="39"/>
      <c r="O263" s="40"/>
      <c r="P263" s="41"/>
      <c r="Q263" s="41"/>
      <c r="R263" s="42">
        <f t="shared" si="26"/>
        <v>0</v>
      </c>
      <c r="S263" s="43">
        <f t="shared" si="27"/>
        <v>95</v>
      </c>
      <c r="T263" s="43" t="str">
        <f t="shared" si="28"/>
        <v/>
      </c>
      <c r="U263" s="42" t="str">
        <f t="shared" si="29"/>
        <v/>
      </c>
      <c r="V263" s="45">
        <f>(SUM($O$2:O263)-SUM($I$2:I263))</f>
        <v>-433.24</v>
      </c>
    </row>
    <row r="264" spans="1:22" x14ac:dyDescent="0.2">
      <c r="A264" s="44">
        <v>38</v>
      </c>
      <c r="B264" s="35" t="s">
        <v>92</v>
      </c>
      <c r="C264" s="36">
        <f t="shared" si="30"/>
        <v>46351</v>
      </c>
      <c r="D264" s="35" t="s">
        <v>35</v>
      </c>
      <c r="E264" s="37">
        <v>30</v>
      </c>
      <c r="F264" s="35" t="s">
        <v>23</v>
      </c>
      <c r="G264" s="35" t="s">
        <v>72</v>
      </c>
      <c r="H264" s="37">
        <v>25</v>
      </c>
      <c r="I264" s="38"/>
      <c r="J264" s="38" t="str">
        <f t="shared" si="31"/>
        <v/>
      </c>
      <c r="K264" s="35" t="s">
        <v>55</v>
      </c>
      <c r="L264" s="35"/>
      <c r="M264" s="39"/>
      <c r="N264" s="39"/>
      <c r="O264" s="40"/>
      <c r="P264" s="41"/>
      <c r="Q264" s="41"/>
      <c r="R264" s="42">
        <f t="shared" si="26"/>
        <v>0</v>
      </c>
      <c r="S264" s="43">
        <f t="shared" si="27"/>
        <v>55</v>
      </c>
      <c r="T264" s="43" t="str">
        <f t="shared" si="28"/>
        <v/>
      </c>
      <c r="U264" s="42" t="str">
        <f t="shared" si="29"/>
        <v/>
      </c>
      <c r="V264" s="45">
        <f>(SUM($O$2:O264)-SUM($I$2:I264))</f>
        <v>-433.24</v>
      </c>
    </row>
    <row r="265" spans="1:22" x14ac:dyDescent="0.2">
      <c r="A265" s="44">
        <v>38</v>
      </c>
      <c r="B265" s="35" t="s">
        <v>92</v>
      </c>
      <c r="C265" s="36">
        <f t="shared" si="30"/>
        <v>46352</v>
      </c>
      <c r="D265" s="35" t="s">
        <v>37</v>
      </c>
      <c r="E265" s="37">
        <v>10</v>
      </c>
      <c r="F265" s="35" t="s">
        <v>28</v>
      </c>
      <c r="G265" s="35" t="s">
        <v>73</v>
      </c>
      <c r="H265" s="37">
        <v>78</v>
      </c>
      <c r="I265" s="38">
        <v>6</v>
      </c>
      <c r="J265" s="38" t="str">
        <f t="shared" si="31"/>
        <v>13:00</v>
      </c>
      <c r="K265" s="35" t="s">
        <v>30</v>
      </c>
      <c r="L265" s="35"/>
      <c r="M265" s="39"/>
      <c r="N265" s="39"/>
      <c r="O265" s="40"/>
      <c r="P265" s="41"/>
      <c r="Q265" s="41"/>
      <c r="R265" s="42">
        <f t="shared" si="26"/>
        <v>0</v>
      </c>
      <c r="S265" s="43">
        <f t="shared" si="27"/>
        <v>88</v>
      </c>
      <c r="T265" s="43" t="str">
        <f t="shared" si="28"/>
        <v/>
      </c>
      <c r="U265" s="42" t="str">
        <f t="shared" si="29"/>
        <v/>
      </c>
      <c r="V265" s="45">
        <f>(SUM($O$2:O265)-SUM($I$2:I265))</f>
        <v>-439.24</v>
      </c>
    </row>
    <row r="266" spans="1:22" x14ac:dyDescent="0.2">
      <c r="A266" s="44">
        <v>38</v>
      </c>
      <c r="B266" s="35" t="s">
        <v>92</v>
      </c>
      <c r="C266" s="36">
        <f t="shared" si="30"/>
        <v>46353</v>
      </c>
      <c r="D266" s="35" t="s">
        <v>40</v>
      </c>
      <c r="E266" s="37">
        <v>30</v>
      </c>
      <c r="F266" s="35" t="s">
        <v>32</v>
      </c>
      <c r="G266" s="35" t="s">
        <v>74</v>
      </c>
      <c r="H266" s="37">
        <v>20</v>
      </c>
      <c r="I266" s="38"/>
      <c r="J266" s="38" t="str">
        <f t="shared" si="31"/>
        <v/>
      </c>
      <c r="K266" s="35" t="s">
        <v>58</v>
      </c>
      <c r="L266" s="35"/>
      <c r="M266" s="39"/>
      <c r="N266" s="39"/>
      <c r="O266" s="40"/>
      <c r="P266" s="41"/>
      <c r="Q266" s="41"/>
      <c r="R266" s="42">
        <f t="shared" si="26"/>
        <v>0</v>
      </c>
      <c r="S266" s="43">
        <f t="shared" si="27"/>
        <v>50</v>
      </c>
      <c r="T266" s="43" t="str">
        <f t="shared" si="28"/>
        <v/>
      </c>
      <c r="U266" s="42" t="str">
        <f t="shared" si="29"/>
        <v/>
      </c>
      <c r="V266" s="45">
        <f>(SUM($O$2:O266)-SUM($I$2:I266))</f>
        <v>-439.24</v>
      </c>
    </row>
    <row r="267" spans="1:22" x14ac:dyDescent="0.2">
      <c r="A267" s="44">
        <v>38</v>
      </c>
      <c r="B267" s="35" t="s">
        <v>92</v>
      </c>
      <c r="C267" s="36">
        <f t="shared" si="30"/>
        <v>46354</v>
      </c>
      <c r="D267" s="35" t="s">
        <v>44</v>
      </c>
      <c r="E267" s="37">
        <v>20</v>
      </c>
      <c r="F267" s="35" t="s">
        <v>45</v>
      </c>
      <c r="G267" s="35" t="s">
        <v>75</v>
      </c>
      <c r="H267" s="37">
        <v>30</v>
      </c>
      <c r="I267" s="38">
        <v>1.5</v>
      </c>
      <c r="J267" s="38" t="str">
        <f t="shared" si="31"/>
        <v>20:00</v>
      </c>
      <c r="K267" s="35" t="s">
        <v>60</v>
      </c>
      <c r="L267" s="35"/>
      <c r="M267" s="39"/>
      <c r="N267" s="39"/>
      <c r="O267" s="40"/>
      <c r="P267" s="41"/>
      <c r="Q267" s="41"/>
      <c r="R267" s="42">
        <f t="shared" si="26"/>
        <v>0</v>
      </c>
      <c r="S267" s="43">
        <f t="shared" si="27"/>
        <v>50</v>
      </c>
      <c r="T267" s="43" t="str">
        <f t="shared" si="28"/>
        <v/>
      </c>
      <c r="U267" s="42" t="str">
        <f t="shared" si="29"/>
        <v/>
      </c>
      <c r="V267" s="45">
        <f>(SUM($O$2:O267)-SUM($I$2:I267))</f>
        <v>-440.74</v>
      </c>
    </row>
    <row r="268" spans="1:22" x14ac:dyDescent="0.2">
      <c r="A268" s="44">
        <v>39</v>
      </c>
      <c r="B268" s="35" t="s">
        <v>92</v>
      </c>
      <c r="C268" s="36">
        <f t="shared" si="30"/>
        <v>46355</v>
      </c>
      <c r="D268" s="35" t="s">
        <v>22</v>
      </c>
      <c r="E268" s="37">
        <v>40</v>
      </c>
      <c r="F268" s="35" t="s">
        <v>85</v>
      </c>
      <c r="G268" s="35" t="s">
        <v>94</v>
      </c>
      <c r="H268" s="37">
        <v>221</v>
      </c>
      <c r="I268" s="38">
        <v>16</v>
      </c>
      <c r="J268" s="38" t="str">
        <f t="shared" si="31"/>
        <v>13:49</v>
      </c>
      <c r="K268" s="35" t="s">
        <v>87</v>
      </c>
      <c r="L268" s="35"/>
      <c r="M268" s="39"/>
      <c r="N268" s="39"/>
      <c r="O268" s="40"/>
      <c r="P268" s="41"/>
      <c r="Q268" s="41"/>
      <c r="R268" s="42">
        <f t="shared" si="26"/>
        <v>0</v>
      </c>
      <c r="S268" s="43">
        <f t="shared" si="27"/>
        <v>261</v>
      </c>
      <c r="T268" s="43" t="str">
        <f t="shared" si="28"/>
        <v/>
      </c>
      <c r="U268" s="42" t="str">
        <f t="shared" si="29"/>
        <v/>
      </c>
      <c r="V268" s="45">
        <f>(SUM($O$2:O268)-SUM($I$2:I268))</f>
        <v>-456.74</v>
      </c>
    </row>
    <row r="269" spans="1:22" x14ac:dyDescent="0.2">
      <c r="A269" s="44">
        <v>39</v>
      </c>
      <c r="B269" s="35" t="s">
        <v>92</v>
      </c>
      <c r="C269" s="36">
        <f t="shared" si="30"/>
        <v>46356</v>
      </c>
      <c r="D269" s="35" t="s">
        <v>27</v>
      </c>
      <c r="E269" s="37">
        <v>0</v>
      </c>
      <c r="F269" s="35" t="s">
        <v>48</v>
      </c>
      <c r="G269" s="35" t="s">
        <v>51</v>
      </c>
      <c r="H269" s="37">
        <v>0</v>
      </c>
      <c r="I269" s="38">
        <v>0</v>
      </c>
      <c r="J269" s="38" t="str">
        <f t="shared" si="31"/>
        <v/>
      </c>
      <c r="K269" s="35" t="s">
        <v>39</v>
      </c>
      <c r="L269" s="35" t="s">
        <v>43</v>
      </c>
      <c r="M269" s="39"/>
      <c r="N269" s="39"/>
      <c r="O269" s="40"/>
      <c r="P269" s="41"/>
      <c r="Q269" s="41"/>
      <c r="R269" s="42">
        <f t="shared" si="26"/>
        <v>1</v>
      </c>
      <c r="S269" s="43">
        <f t="shared" si="27"/>
        <v>0</v>
      </c>
      <c r="T269" s="43" t="str">
        <f t="shared" si="28"/>
        <v/>
      </c>
      <c r="U269" s="42" t="str">
        <f t="shared" si="29"/>
        <v/>
      </c>
      <c r="V269" s="45">
        <f>(SUM($O$2:O269)-SUM($I$2:I269))</f>
        <v>-456.74</v>
      </c>
    </row>
    <row r="270" spans="1:22" x14ac:dyDescent="0.2">
      <c r="A270" s="44">
        <v>39</v>
      </c>
      <c r="B270" s="35" t="s">
        <v>92</v>
      </c>
      <c r="C270" s="36">
        <f t="shared" si="30"/>
        <v>46357</v>
      </c>
      <c r="D270" s="35" t="s">
        <v>31</v>
      </c>
      <c r="E270" s="37">
        <v>30</v>
      </c>
      <c r="F270" s="35" t="s">
        <v>28</v>
      </c>
      <c r="G270" s="35" t="s">
        <v>52</v>
      </c>
      <c r="H270" s="37">
        <v>30</v>
      </c>
      <c r="I270" s="38">
        <v>1.5</v>
      </c>
      <c r="J270" s="38" t="str">
        <f t="shared" si="31"/>
        <v>20:00</v>
      </c>
      <c r="K270" s="35" t="s">
        <v>53</v>
      </c>
      <c r="L270" s="35"/>
      <c r="M270" s="39"/>
      <c r="N270" s="39"/>
      <c r="O270" s="40"/>
      <c r="P270" s="41"/>
      <c r="Q270" s="41"/>
      <c r="R270" s="42">
        <f t="shared" si="26"/>
        <v>0</v>
      </c>
      <c r="S270" s="43">
        <f t="shared" si="27"/>
        <v>60</v>
      </c>
      <c r="T270" s="43" t="str">
        <f t="shared" si="28"/>
        <v/>
      </c>
      <c r="U270" s="42" t="str">
        <f t="shared" si="29"/>
        <v/>
      </c>
      <c r="V270" s="45">
        <f>(SUM($O$2:O270)-SUM($I$2:I270))</f>
        <v>-458.24</v>
      </c>
    </row>
    <row r="271" spans="1:22" x14ac:dyDescent="0.2">
      <c r="A271" s="44">
        <v>39</v>
      </c>
      <c r="B271" s="35" t="s">
        <v>92</v>
      </c>
      <c r="C271" s="36">
        <f t="shared" si="30"/>
        <v>46358</v>
      </c>
      <c r="D271" s="35" t="s">
        <v>35</v>
      </c>
      <c r="E271" s="37">
        <v>40</v>
      </c>
      <c r="F271" s="35" t="s">
        <v>32</v>
      </c>
      <c r="G271" s="35" t="s">
        <v>54</v>
      </c>
      <c r="H271" s="37">
        <v>25</v>
      </c>
      <c r="I271" s="38"/>
      <c r="J271" s="38" t="str">
        <f t="shared" si="31"/>
        <v/>
      </c>
      <c r="K271" s="35" t="s">
        <v>55</v>
      </c>
      <c r="L271" s="35"/>
      <c r="M271" s="39"/>
      <c r="N271" s="39"/>
      <c r="O271" s="40"/>
      <c r="P271" s="41"/>
      <c r="Q271" s="41"/>
      <c r="R271" s="42">
        <f t="shared" si="26"/>
        <v>0</v>
      </c>
      <c r="S271" s="43">
        <f t="shared" si="27"/>
        <v>65</v>
      </c>
      <c r="T271" s="43" t="str">
        <f t="shared" si="28"/>
        <v/>
      </c>
      <c r="U271" s="42" t="str">
        <f t="shared" si="29"/>
        <v/>
      </c>
      <c r="V271" s="45">
        <f>(SUM($O$2:O271)-SUM($I$2:I271))</f>
        <v>-458.24</v>
      </c>
    </row>
    <row r="272" spans="1:22" x14ac:dyDescent="0.2">
      <c r="A272" s="44">
        <v>39</v>
      </c>
      <c r="B272" s="35" t="s">
        <v>92</v>
      </c>
      <c r="C272" s="36">
        <f t="shared" si="30"/>
        <v>46359</v>
      </c>
      <c r="D272" s="35" t="s">
        <v>37</v>
      </c>
      <c r="E272" s="37">
        <v>10</v>
      </c>
      <c r="F272" s="35" t="s">
        <v>28</v>
      </c>
      <c r="G272" s="35" t="s">
        <v>56</v>
      </c>
      <c r="H272" s="37">
        <v>91</v>
      </c>
      <c r="I272" s="38">
        <v>7</v>
      </c>
      <c r="J272" s="38" t="str">
        <f t="shared" si="31"/>
        <v>13:00</v>
      </c>
      <c r="K272" s="35" t="s">
        <v>30</v>
      </c>
      <c r="L272" s="35"/>
      <c r="M272" s="39"/>
      <c r="N272" s="39"/>
      <c r="O272" s="40"/>
      <c r="P272" s="41"/>
      <c r="Q272" s="41"/>
      <c r="R272" s="42">
        <f t="shared" si="26"/>
        <v>0</v>
      </c>
      <c r="S272" s="43">
        <f t="shared" si="27"/>
        <v>101</v>
      </c>
      <c r="T272" s="43" t="str">
        <f t="shared" si="28"/>
        <v/>
      </c>
      <c r="U272" s="42" t="str">
        <f t="shared" si="29"/>
        <v/>
      </c>
      <c r="V272" s="45">
        <f>(SUM($O$2:O272)-SUM($I$2:I272))</f>
        <v>-465.24</v>
      </c>
    </row>
    <row r="273" spans="1:22" x14ac:dyDescent="0.2">
      <c r="A273" s="44">
        <v>39</v>
      </c>
      <c r="B273" s="35" t="s">
        <v>92</v>
      </c>
      <c r="C273" s="36">
        <f t="shared" si="30"/>
        <v>46360</v>
      </c>
      <c r="D273" s="35" t="s">
        <v>40</v>
      </c>
      <c r="E273" s="37">
        <v>50</v>
      </c>
      <c r="F273" s="35" t="s">
        <v>23</v>
      </c>
      <c r="G273" s="35" t="s">
        <v>57</v>
      </c>
      <c r="H273" s="37">
        <v>20</v>
      </c>
      <c r="I273" s="38"/>
      <c r="J273" s="38" t="str">
        <f t="shared" si="31"/>
        <v/>
      </c>
      <c r="K273" s="35" t="s">
        <v>58</v>
      </c>
      <c r="L273" s="35"/>
      <c r="M273" s="39"/>
      <c r="N273" s="39"/>
      <c r="O273" s="40"/>
      <c r="P273" s="41"/>
      <c r="Q273" s="41"/>
      <c r="R273" s="42">
        <f t="shared" si="26"/>
        <v>0</v>
      </c>
      <c r="S273" s="43">
        <f t="shared" si="27"/>
        <v>70</v>
      </c>
      <c r="T273" s="43" t="str">
        <f t="shared" si="28"/>
        <v/>
      </c>
      <c r="U273" s="42" t="str">
        <f t="shared" si="29"/>
        <v/>
      </c>
      <c r="V273" s="45">
        <f>(SUM($O$2:O273)-SUM($I$2:I273))</f>
        <v>-465.24</v>
      </c>
    </row>
    <row r="274" spans="1:22" x14ac:dyDescent="0.2">
      <c r="A274" s="44">
        <v>39</v>
      </c>
      <c r="B274" s="35" t="s">
        <v>92</v>
      </c>
      <c r="C274" s="36">
        <f t="shared" si="30"/>
        <v>46361</v>
      </c>
      <c r="D274" s="35" t="s">
        <v>44</v>
      </c>
      <c r="E274" s="37">
        <v>15</v>
      </c>
      <c r="F274" s="35" t="s">
        <v>45</v>
      </c>
      <c r="G274" s="35" t="s">
        <v>59</v>
      </c>
      <c r="H274" s="37">
        <v>30</v>
      </c>
      <c r="I274" s="38">
        <v>1.5</v>
      </c>
      <c r="J274" s="38" t="str">
        <f t="shared" si="31"/>
        <v>20:00</v>
      </c>
      <c r="K274" s="35" t="s">
        <v>60</v>
      </c>
      <c r="L274" s="35"/>
      <c r="M274" s="39"/>
      <c r="N274" s="39"/>
      <c r="O274" s="40"/>
      <c r="P274" s="41"/>
      <c r="Q274" s="41"/>
      <c r="R274" s="42">
        <f t="shared" si="26"/>
        <v>0</v>
      </c>
      <c r="S274" s="43">
        <f t="shared" si="27"/>
        <v>45</v>
      </c>
      <c r="T274" s="43" t="str">
        <f t="shared" si="28"/>
        <v/>
      </c>
      <c r="U274" s="42" t="str">
        <f t="shared" si="29"/>
        <v/>
      </c>
      <c r="V274" s="45">
        <f>(SUM($O$2:O274)-SUM($I$2:I274))</f>
        <v>-466.74</v>
      </c>
    </row>
    <row r="275" spans="1:22" x14ac:dyDescent="0.2">
      <c r="A275" s="44">
        <v>40</v>
      </c>
      <c r="B275" s="35" t="s">
        <v>92</v>
      </c>
      <c r="C275" s="36">
        <f t="shared" si="30"/>
        <v>46362</v>
      </c>
      <c r="D275" s="35" t="s">
        <v>22</v>
      </c>
      <c r="E275" s="37">
        <v>60</v>
      </c>
      <c r="F275" s="35" t="s">
        <v>85</v>
      </c>
      <c r="G275" s="35" t="s">
        <v>95</v>
      </c>
      <c r="H275" s="37">
        <v>166</v>
      </c>
      <c r="I275" s="38">
        <v>12</v>
      </c>
      <c r="J275" s="38" t="str">
        <f t="shared" si="31"/>
        <v>13:50</v>
      </c>
      <c r="K275" s="35" t="s">
        <v>87</v>
      </c>
      <c r="L275" s="35"/>
      <c r="M275" s="39"/>
      <c r="N275" s="39"/>
      <c r="O275" s="40"/>
      <c r="P275" s="41"/>
      <c r="Q275" s="41"/>
      <c r="R275" s="42">
        <f t="shared" si="26"/>
        <v>0</v>
      </c>
      <c r="S275" s="43">
        <f t="shared" si="27"/>
        <v>226</v>
      </c>
      <c r="T275" s="43" t="str">
        <f t="shared" si="28"/>
        <v/>
      </c>
      <c r="U275" s="42" t="str">
        <f t="shared" si="29"/>
        <v/>
      </c>
      <c r="V275" s="45">
        <f>(SUM($O$2:O275)-SUM($I$2:I275))</f>
        <v>-478.73999999999995</v>
      </c>
    </row>
    <row r="276" spans="1:22" x14ac:dyDescent="0.2">
      <c r="A276" s="44">
        <v>40</v>
      </c>
      <c r="B276" s="35" t="s">
        <v>92</v>
      </c>
      <c r="C276" s="36">
        <f t="shared" si="30"/>
        <v>46363</v>
      </c>
      <c r="D276" s="35" t="s">
        <v>27</v>
      </c>
      <c r="E276" s="37">
        <v>0</v>
      </c>
      <c r="F276" s="35" t="s">
        <v>48</v>
      </c>
      <c r="G276" s="35" t="s">
        <v>51</v>
      </c>
      <c r="H276" s="37">
        <v>0</v>
      </c>
      <c r="I276" s="38">
        <v>0</v>
      </c>
      <c r="J276" s="38" t="str">
        <f t="shared" si="31"/>
        <v/>
      </c>
      <c r="K276" s="35" t="s">
        <v>39</v>
      </c>
      <c r="L276" s="35" t="s">
        <v>43</v>
      </c>
      <c r="M276" s="39"/>
      <c r="N276" s="39"/>
      <c r="O276" s="40"/>
      <c r="P276" s="41"/>
      <c r="Q276" s="41"/>
      <c r="R276" s="42">
        <f t="shared" si="26"/>
        <v>1</v>
      </c>
      <c r="S276" s="43">
        <f t="shared" si="27"/>
        <v>0</v>
      </c>
      <c r="T276" s="43" t="str">
        <f t="shared" si="28"/>
        <v/>
      </c>
      <c r="U276" s="42" t="str">
        <f t="shared" si="29"/>
        <v/>
      </c>
      <c r="V276" s="45">
        <f>(SUM($O$2:O276)-SUM($I$2:I276))</f>
        <v>-478.73999999999995</v>
      </c>
    </row>
    <row r="277" spans="1:22" x14ac:dyDescent="0.2">
      <c r="A277" s="44">
        <v>40</v>
      </c>
      <c r="B277" s="35" t="s">
        <v>92</v>
      </c>
      <c r="C277" s="36">
        <f t="shared" si="30"/>
        <v>46364</v>
      </c>
      <c r="D277" s="35" t="s">
        <v>31</v>
      </c>
      <c r="E277" s="37">
        <v>40</v>
      </c>
      <c r="F277" s="35" t="s">
        <v>23</v>
      </c>
      <c r="G277" s="35" t="s">
        <v>61</v>
      </c>
      <c r="H277" s="37">
        <v>30</v>
      </c>
      <c r="I277" s="38"/>
      <c r="J277" s="38" t="str">
        <f t="shared" si="31"/>
        <v/>
      </c>
      <c r="K277" s="35" t="s">
        <v>53</v>
      </c>
      <c r="L277" s="35"/>
      <c r="M277" s="39"/>
      <c r="N277" s="39"/>
      <c r="O277" s="40"/>
      <c r="P277" s="41"/>
      <c r="Q277" s="41"/>
      <c r="R277" s="42">
        <f t="shared" si="26"/>
        <v>0</v>
      </c>
      <c r="S277" s="43">
        <f t="shared" si="27"/>
        <v>70</v>
      </c>
      <c r="T277" s="43" t="str">
        <f t="shared" si="28"/>
        <v/>
      </c>
      <c r="U277" s="42" t="str">
        <f t="shared" si="29"/>
        <v/>
      </c>
      <c r="V277" s="45">
        <f>(SUM($O$2:O277)-SUM($I$2:I277))</f>
        <v>-478.73999999999995</v>
      </c>
    </row>
    <row r="278" spans="1:22" x14ac:dyDescent="0.2">
      <c r="A278" s="44">
        <v>40</v>
      </c>
      <c r="B278" s="35" t="s">
        <v>92</v>
      </c>
      <c r="C278" s="36">
        <f t="shared" si="30"/>
        <v>46365</v>
      </c>
      <c r="D278" s="35" t="s">
        <v>35</v>
      </c>
      <c r="E278" s="37">
        <v>50</v>
      </c>
      <c r="F278" s="35" t="s">
        <v>23</v>
      </c>
      <c r="G278" s="35" t="s">
        <v>24</v>
      </c>
      <c r="H278" s="37">
        <v>30</v>
      </c>
      <c r="I278" s="38"/>
      <c r="J278" s="38" t="str">
        <f t="shared" si="31"/>
        <v/>
      </c>
      <c r="K278" s="35" t="s">
        <v>55</v>
      </c>
      <c r="L278" s="35"/>
      <c r="M278" s="39"/>
      <c r="N278" s="39"/>
      <c r="O278" s="40"/>
      <c r="P278" s="41"/>
      <c r="Q278" s="41"/>
      <c r="R278" s="42">
        <f t="shared" si="26"/>
        <v>0</v>
      </c>
      <c r="S278" s="43">
        <f t="shared" si="27"/>
        <v>80</v>
      </c>
      <c r="T278" s="43" t="str">
        <f t="shared" si="28"/>
        <v/>
      </c>
      <c r="U278" s="42" t="str">
        <f t="shared" si="29"/>
        <v/>
      </c>
      <c r="V278" s="45">
        <f>(SUM($O$2:O278)-SUM($I$2:I278))</f>
        <v>-478.73999999999995</v>
      </c>
    </row>
    <row r="279" spans="1:22" x14ac:dyDescent="0.2">
      <c r="A279" s="44">
        <v>40</v>
      </c>
      <c r="B279" s="35" t="s">
        <v>92</v>
      </c>
      <c r="C279" s="36">
        <f t="shared" si="30"/>
        <v>46366</v>
      </c>
      <c r="D279" s="35" t="s">
        <v>37</v>
      </c>
      <c r="E279" s="37">
        <v>10</v>
      </c>
      <c r="F279" s="35" t="s">
        <v>28</v>
      </c>
      <c r="G279" s="35" t="s">
        <v>62</v>
      </c>
      <c r="H279" s="37">
        <v>65</v>
      </c>
      <c r="I279" s="38">
        <v>5</v>
      </c>
      <c r="J279" s="38" t="str">
        <f t="shared" si="31"/>
        <v>13:00</v>
      </c>
      <c r="K279" s="35" t="s">
        <v>30</v>
      </c>
      <c r="L279" s="35"/>
      <c r="M279" s="39"/>
      <c r="N279" s="39"/>
      <c r="O279" s="40"/>
      <c r="P279" s="41"/>
      <c r="Q279" s="41"/>
      <c r="R279" s="42">
        <f t="shared" si="26"/>
        <v>0</v>
      </c>
      <c r="S279" s="43">
        <f t="shared" si="27"/>
        <v>75</v>
      </c>
      <c r="T279" s="43" t="str">
        <f t="shared" si="28"/>
        <v/>
      </c>
      <c r="U279" s="42" t="str">
        <f t="shared" si="29"/>
        <v/>
      </c>
      <c r="V279" s="45">
        <f>(SUM($O$2:O279)-SUM($I$2:I279))</f>
        <v>-483.73999999999995</v>
      </c>
    </row>
    <row r="280" spans="1:22" x14ac:dyDescent="0.2">
      <c r="A280" s="44">
        <v>40</v>
      </c>
      <c r="B280" s="35" t="s">
        <v>92</v>
      </c>
      <c r="C280" s="36">
        <f t="shared" si="30"/>
        <v>46367</v>
      </c>
      <c r="D280" s="35" t="s">
        <v>40</v>
      </c>
      <c r="E280" s="37">
        <v>60</v>
      </c>
      <c r="F280" s="35" t="s">
        <v>32</v>
      </c>
      <c r="G280" s="35" t="s">
        <v>63</v>
      </c>
      <c r="H280" s="37">
        <v>20</v>
      </c>
      <c r="I280" s="38"/>
      <c r="J280" s="38" t="str">
        <f t="shared" si="31"/>
        <v/>
      </c>
      <c r="K280" s="35" t="s">
        <v>58</v>
      </c>
      <c r="L280" s="35"/>
      <c r="M280" s="39"/>
      <c r="N280" s="39"/>
      <c r="O280" s="40"/>
      <c r="P280" s="41"/>
      <c r="Q280" s="41"/>
      <c r="R280" s="42">
        <f t="shared" si="26"/>
        <v>0</v>
      </c>
      <c r="S280" s="43">
        <f t="shared" si="27"/>
        <v>80</v>
      </c>
      <c r="T280" s="43" t="str">
        <f t="shared" si="28"/>
        <v/>
      </c>
      <c r="U280" s="42" t="str">
        <f t="shared" si="29"/>
        <v/>
      </c>
      <c r="V280" s="45">
        <f>(SUM($O$2:O280)-SUM($I$2:I280))</f>
        <v>-483.73999999999995</v>
      </c>
    </row>
    <row r="281" spans="1:22" x14ac:dyDescent="0.2">
      <c r="A281" s="44">
        <v>40</v>
      </c>
      <c r="B281" s="35" t="s">
        <v>92</v>
      </c>
      <c r="C281" s="36">
        <f t="shared" si="30"/>
        <v>46368</v>
      </c>
      <c r="D281" s="35" t="s">
        <v>44</v>
      </c>
      <c r="E281" s="37">
        <v>20</v>
      </c>
      <c r="F281" s="35" t="s">
        <v>45</v>
      </c>
      <c r="G281" s="35" t="s">
        <v>64</v>
      </c>
      <c r="H281" s="37">
        <v>30</v>
      </c>
      <c r="I281" s="38">
        <v>1.5</v>
      </c>
      <c r="J281" s="38" t="str">
        <f t="shared" si="31"/>
        <v>20:00</v>
      </c>
      <c r="K281" s="35" t="s">
        <v>60</v>
      </c>
      <c r="L281" s="35"/>
      <c r="M281" s="39"/>
      <c r="N281" s="39"/>
      <c r="O281" s="40"/>
      <c r="P281" s="41"/>
      <c r="Q281" s="41"/>
      <c r="R281" s="42">
        <f t="shared" si="26"/>
        <v>0</v>
      </c>
      <c r="S281" s="43">
        <f t="shared" si="27"/>
        <v>50</v>
      </c>
      <c r="T281" s="43" t="str">
        <f t="shared" si="28"/>
        <v/>
      </c>
      <c r="U281" s="42" t="str">
        <f t="shared" si="29"/>
        <v/>
      </c>
      <c r="V281" s="45">
        <f>(SUM($O$2:O281)-SUM($I$2:I281))</f>
        <v>-485.23999999999995</v>
      </c>
    </row>
    <row r="282" spans="1:22" x14ac:dyDescent="0.2">
      <c r="A282" s="44">
        <v>41</v>
      </c>
      <c r="B282" s="35" t="s">
        <v>92</v>
      </c>
      <c r="C282" s="36">
        <f t="shared" si="30"/>
        <v>46369</v>
      </c>
      <c r="D282" s="35" t="s">
        <v>22</v>
      </c>
      <c r="E282" s="37">
        <v>40</v>
      </c>
      <c r="F282" s="35" t="s">
        <v>85</v>
      </c>
      <c r="G282" s="35" t="s">
        <v>94</v>
      </c>
      <c r="H282" s="37">
        <v>221</v>
      </c>
      <c r="I282" s="38">
        <v>16</v>
      </c>
      <c r="J282" s="38" t="str">
        <f t="shared" si="31"/>
        <v>13:49</v>
      </c>
      <c r="K282" s="35" t="s">
        <v>87</v>
      </c>
      <c r="L282" s="35"/>
      <c r="M282" s="39"/>
      <c r="N282" s="39"/>
      <c r="O282" s="40"/>
      <c r="P282" s="41"/>
      <c r="Q282" s="41"/>
      <c r="R282" s="42">
        <f t="shared" si="26"/>
        <v>0</v>
      </c>
      <c r="S282" s="43">
        <f t="shared" si="27"/>
        <v>261</v>
      </c>
      <c r="T282" s="43" t="str">
        <f t="shared" si="28"/>
        <v/>
      </c>
      <c r="U282" s="42" t="str">
        <f t="shared" si="29"/>
        <v/>
      </c>
      <c r="V282" s="45">
        <f>(SUM($O$2:O282)-SUM($I$2:I282))</f>
        <v>-501.23999999999995</v>
      </c>
    </row>
    <row r="283" spans="1:22" x14ac:dyDescent="0.2">
      <c r="A283" s="44">
        <v>41</v>
      </c>
      <c r="B283" s="35" t="s">
        <v>92</v>
      </c>
      <c r="C283" s="36">
        <f t="shared" si="30"/>
        <v>46370</v>
      </c>
      <c r="D283" s="35" t="s">
        <v>27</v>
      </c>
      <c r="E283" s="37">
        <v>0</v>
      </c>
      <c r="F283" s="35" t="s">
        <v>48</v>
      </c>
      <c r="G283" s="35" t="s">
        <v>51</v>
      </c>
      <c r="H283" s="37">
        <v>0</v>
      </c>
      <c r="I283" s="38">
        <v>0</v>
      </c>
      <c r="J283" s="38" t="str">
        <f t="shared" si="31"/>
        <v/>
      </c>
      <c r="K283" s="35" t="s">
        <v>39</v>
      </c>
      <c r="L283" s="35" t="s">
        <v>43</v>
      </c>
      <c r="M283" s="39"/>
      <c r="N283" s="39"/>
      <c r="O283" s="40"/>
      <c r="P283" s="41"/>
      <c r="Q283" s="41"/>
      <c r="R283" s="42">
        <f t="shared" si="26"/>
        <v>1</v>
      </c>
      <c r="S283" s="43">
        <f t="shared" si="27"/>
        <v>0</v>
      </c>
      <c r="T283" s="43" t="str">
        <f t="shared" si="28"/>
        <v/>
      </c>
      <c r="U283" s="42" t="str">
        <f t="shared" si="29"/>
        <v/>
      </c>
      <c r="V283" s="45">
        <f>(SUM($O$2:O283)-SUM($I$2:I283))</f>
        <v>-501.23999999999995</v>
      </c>
    </row>
    <row r="284" spans="1:22" x14ac:dyDescent="0.2">
      <c r="A284" s="44">
        <v>41</v>
      </c>
      <c r="B284" s="35" t="s">
        <v>92</v>
      </c>
      <c r="C284" s="36">
        <f t="shared" si="30"/>
        <v>46371</v>
      </c>
      <c r="D284" s="35" t="s">
        <v>31</v>
      </c>
      <c r="E284" s="37">
        <v>50</v>
      </c>
      <c r="F284" s="35" t="s">
        <v>32</v>
      </c>
      <c r="G284" s="35" t="s">
        <v>66</v>
      </c>
      <c r="H284" s="37">
        <v>25</v>
      </c>
      <c r="I284" s="38"/>
      <c r="J284" s="38" t="str">
        <f t="shared" si="31"/>
        <v/>
      </c>
      <c r="K284" s="35" t="s">
        <v>53</v>
      </c>
      <c r="L284" s="35"/>
      <c r="M284" s="39"/>
      <c r="N284" s="39"/>
      <c r="O284" s="40"/>
      <c r="P284" s="41"/>
      <c r="Q284" s="41"/>
      <c r="R284" s="42">
        <f t="shared" si="26"/>
        <v>0</v>
      </c>
      <c r="S284" s="43">
        <f t="shared" si="27"/>
        <v>75</v>
      </c>
      <c r="T284" s="43" t="str">
        <f t="shared" si="28"/>
        <v/>
      </c>
      <c r="U284" s="42" t="str">
        <f t="shared" si="29"/>
        <v/>
      </c>
      <c r="V284" s="45">
        <f>(SUM($O$2:O284)-SUM($I$2:I284))</f>
        <v>-501.23999999999995</v>
      </c>
    </row>
    <row r="285" spans="1:22" x14ac:dyDescent="0.2">
      <c r="A285" s="44">
        <v>41</v>
      </c>
      <c r="B285" s="35" t="s">
        <v>92</v>
      </c>
      <c r="C285" s="36">
        <f t="shared" si="30"/>
        <v>46372</v>
      </c>
      <c r="D285" s="35" t="s">
        <v>35</v>
      </c>
      <c r="E285" s="37">
        <v>60</v>
      </c>
      <c r="F285" s="35" t="s">
        <v>32</v>
      </c>
      <c r="G285" s="35" t="s">
        <v>67</v>
      </c>
      <c r="H285" s="37">
        <v>30</v>
      </c>
      <c r="I285" s="38"/>
      <c r="J285" s="38" t="str">
        <f t="shared" si="31"/>
        <v/>
      </c>
      <c r="K285" s="35" t="s">
        <v>55</v>
      </c>
      <c r="L285" s="35"/>
      <c r="M285" s="39"/>
      <c r="N285" s="39"/>
      <c r="O285" s="40"/>
      <c r="P285" s="41"/>
      <c r="Q285" s="41"/>
      <c r="R285" s="42">
        <f t="shared" si="26"/>
        <v>0</v>
      </c>
      <c r="S285" s="43">
        <f t="shared" si="27"/>
        <v>90</v>
      </c>
      <c r="T285" s="43" t="str">
        <f t="shared" si="28"/>
        <v/>
      </c>
      <c r="U285" s="42" t="str">
        <f t="shared" si="29"/>
        <v/>
      </c>
      <c r="V285" s="45">
        <f>(SUM($O$2:O285)-SUM($I$2:I285))</f>
        <v>-501.23999999999995</v>
      </c>
    </row>
    <row r="286" spans="1:22" x14ac:dyDescent="0.2">
      <c r="A286" s="44">
        <v>41</v>
      </c>
      <c r="B286" s="35" t="s">
        <v>92</v>
      </c>
      <c r="C286" s="36">
        <f t="shared" si="30"/>
        <v>46373</v>
      </c>
      <c r="D286" s="35" t="s">
        <v>37</v>
      </c>
      <c r="E286" s="37">
        <v>10</v>
      </c>
      <c r="F286" s="35" t="s">
        <v>28</v>
      </c>
      <c r="G286" s="35" t="s">
        <v>68</v>
      </c>
      <c r="H286" s="37">
        <v>78</v>
      </c>
      <c r="I286" s="38">
        <v>6</v>
      </c>
      <c r="J286" s="38" t="str">
        <f t="shared" si="31"/>
        <v>13:00</v>
      </c>
      <c r="K286" s="35" t="s">
        <v>30</v>
      </c>
      <c r="L286" s="35"/>
      <c r="M286" s="39"/>
      <c r="N286" s="39"/>
      <c r="O286" s="40"/>
      <c r="P286" s="41"/>
      <c r="Q286" s="41"/>
      <c r="R286" s="42">
        <f t="shared" si="26"/>
        <v>0</v>
      </c>
      <c r="S286" s="43">
        <f t="shared" si="27"/>
        <v>88</v>
      </c>
      <c r="T286" s="43" t="str">
        <f t="shared" si="28"/>
        <v/>
      </c>
      <c r="U286" s="42" t="str">
        <f t="shared" si="29"/>
        <v/>
      </c>
      <c r="V286" s="45">
        <f>(SUM($O$2:O286)-SUM($I$2:I286))</f>
        <v>-507.23999999999995</v>
      </c>
    </row>
    <row r="287" spans="1:22" x14ac:dyDescent="0.2">
      <c r="A287" s="44">
        <v>41</v>
      </c>
      <c r="B287" s="35" t="s">
        <v>92</v>
      </c>
      <c r="C287" s="36">
        <f t="shared" si="30"/>
        <v>46374</v>
      </c>
      <c r="D287" s="35" t="s">
        <v>40</v>
      </c>
      <c r="E287" s="37">
        <v>40</v>
      </c>
      <c r="F287" s="35" t="s">
        <v>23</v>
      </c>
      <c r="G287" s="35" t="s">
        <v>69</v>
      </c>
      <c r="H287" s="37">
        <v>25</v>
      </c>
      <c r="I287" s="38"/>
      <c r="J287" s="38" t="str">
        <f t="shared" si="31"/>
        <v/>
      </c>
      <c r="K287" s="35" t="s">
        <v>58</v>
      </c>
      <c r="L287" s="35"/>
      <c r="M287" s="39"/>
      <c r="N287" s="39"/>
      <c r="O287" s="40"/>
      <c r="P287" s="41"/>
      <c r="Q287" s="41"/>
      <c r="R287" s="42">
        <f t="shared" si="26"/>
        <v>0</v>
      </c>
      <c r="S287" s="43">
        <f t="shared" si="27"/>
        <v>65</v>
      </c>
      <c r="T287" s="43" t="str">
        <f t="shared" si="28"/>
        <v/>
      </c>
      <c r="U287" s="42" t="str">
        <f t="shared" si="29"/>
        <v/>
      </c>
      <c r="V287" s="45">
        <f>(SUM($O$2:O287)-SUM($I$2:I287))</f>
        <v>-507.23999999999995</v>
      </c>
    </row>
    <row r="288" spans="1:22" x14ac:dyDescent="0.2">
      <c r="A288" s="44">
        <v>41</v>
      </c>
      <c r="B288" s="35" t="s">
        <v>92</v>
      </c>
      <c r="C288" s="36">
        <f t="shared" si="30"/>
        <v>46375</v>
      </c>
      <c r="D288" s="35" t="s">
        <v>44</v>
      </c>
      <c r="E288" s="37">
        <v>15</v>
      </c>
      <c r="F288" s="35" t="s">
        <v>28</v>
      </c>
      <c r="G288" s="35" t="s">
        <v>70</v>
      </c>
      <c r="H288" s="37">
        <v>30</v>
      </c>
      <c r="I288" s="38">
        <v>1.5</v>
      </c>
      <c r="J288" s="38" t="str">
        <f t="shared" si="31"/>
        <v>20:00</v>
      </c>
      <c r="K288" s="35" t="s">
        <v>60</v>
      </c>
      <c r="L288" s="35"/>
      <c r="M288" s="39"/>
      <c r="N288" s="39"/>
      <c r="O288" s="40"/>
      <c r="P288" s="41"/>
      <c r="Q288" s="41"/>
      <c r="R288" s="42">
        <f t="shared" si="26"/>
        <v>0</v>
      </c>
      <c r="S288" s="43">
        <f t="shared" si="27"/>
        <v>45</v>
      </c>
      <c r="T288" s="43" t="str">
        <f t="shared" si="28"/>
        <v/>
      </c>
      <c r="U288" s="42" t="str">
        <f t="shared" si="29"/>
        <v/>
      </c>
      <c r="V288" s="45">
        <f>(SUM($O$2:O288)-SUM($I$2:I288))</f>
        <v>-508.73999999999995</v>
      </c>
    </row>
    <row r="289" spans="1:22" x14ac:dyDescent="0.2">
      <c r="A289" s="44">
        <v>42</v>
      </c>
      <c r="B289" s="35" t="s">
        <v>92</v>
      </c>
      <c r="C289" s="36">
        <f t="shared" si="30"/>
        <v>46376</v>
      </c>
      <c r="D289" s="35" t="s">
        <v>22</v>
      </c>
      <c r="E289" s="37">
        <v>60</v>
      </c>
      <c r="F289" s="35" t="s">
        <v>85</v>
      </c>
      <c r="G289" s="35" t="s">
        <v>94</v>
      </c>
      <c r="H289" s="37">
        <v>248</v>
      </c>
      <c r="I289" s="38">
        <v>18</v>
      </c>
      <c r="J289" s="38" t="str">
        <f t="shared" si="31"/>
        <v>13:47</v>
      </c>
      <c r="K289" s="35" t="s">
        <v>87</v>
      </c>
      <c r="L289" s="35"/>
      <c r="M289" s="39"/>
      <c r="N289" s="39"/>
      <c r="O289" s="40"/>
      <c r="P289" s="41"/>
      <c r="Q289" s="41"/>
      <c r="R289" s="42">
        <f t="shared" si="26"/>
        <v>0</v>
      </c>
      <c r="S289" s="43">
        <f t="shared" si="27"/>
        <v>308</v>
      </c>
      <c r="T289" s="43" t="str">
        <f t="shared" si="28"/>
        <v/>
      </c>
      <c r="U289" s="42" t="str">
        <f t="shared" si="29"/>
        <v/>
      </c>
      <c r="V289" s="45">
        <f>(SUM($O$2:O289)-SUM($I$2:I289))</f>
        <v>-526.74</v>
      </c>
    </row>
    <row r="290" spans="1:22" x14ac:dyDescent="0.2">
      <c r="A290" s="44">
        <v>42</v>
      </c>
      <c r="B290" s="35" t="s">
        <v>92</v>
      </c>
      <c r="C290" s="36">
        <f t="shared" si="30"/>
        <v>46377</v>
      </c>
      <c r="D290" s="35" t="s">
        <v>27</v>
      </c>
      <c r="E290" s="37">
        <v>0</v>
      </c>
      <c r="F290" s="35" t="s">
        <v>48</v>
      </c>
      <c r="G290" s="35" t="s">
        <v>51</v>
      </c>
      <c r="H290" s="37">
        <v>0</v>
      </c>
      <c r="I290" s="38">
        <v>0</v>
      </c>
      <c r="J290" s="38" t="str">
        <f t="shared" si="31"/>
        <v/>
      </c>
      <c r="K290" s="35" t="s">
        <v>39</v>
      </c>
      <c r="L290" s="35" t="s">
        <v>43</v>
      </c>
      <c r="M290" s="39"/>
      <c r="N290" s="39"/>
      <c r="O290" s="40"/>
      <c r="P290" s="41"/>
      <c r="Q290" s="41"/>
      <c r="R290" s="42">
        <f t="shared" si="26"/>
        <v>1</v>
      </c>
      <c r="S290" s="43">
        <f t="shared" si="27"/>
        <v>0</v>
      </c>
      <c r="T290" s="43" t="str">
        <f t="shared" si="28"/>
        <v/>
      </c>
      <c r="U290" s="42" t="str">
        <f t="shared" si="29"/>
        <v/>
      </c>
      <c r="V290" s="45">
        <f>(SUM($O$2:O290)-SUM($I$2:I290))</f>
        <v>-526.74</v>
      </c>
    </row>
    <row r="291" spans="1:22" x14ac:dyDescent="0.2">
      <c r="A291" s="44">
        <v>42</v>
      </c>
      <c r="B291" s="35" t="s">
        <v>92</v>
      </c>
      <c r="C291" s="36">
        <f t="shared" si="30"/>
        <v>46378</v>
      </c>
      <c r="D291" s="35" t="s">
        <v>31</v>
      </c>
      <c r="E291" s="37">
        <v>60</v>
      </c>
      <c r="F291" s="35" t="s">
        <v>28</v>
      </c>
      <c r="G291" s="35" t="s">
        <v>71</v>
      </c>
      <c r="H291" s="37">
        <v>35</v>
      </c>
      <c r="I291" s="38">
        <v>1.8</v>
      </c>
      <c r="J291" s="38" t="str">
        <f t="shared" si="31"/>
        <v>19:27</v>
      </c>
      <c r="K291" s="35" t="s">
        <v>53</v>
      </c>
      <c r="L291" s="35"/>
      <c r="M291" s="39"/>
      <c r="N291" s="39"/>
      <c r="O291" s="40"/>
      <c r="P291" s="41"/>
      <c r="Q291" s="41"/>
      <c r="R291" s="42">
        <f t="shared" si="26"/>
        <v>0</v>
      </c>
      <c r="S291" s="43">
        <f t="shared" si="27"/>
        <v>95</v>
      </c>
      <c r="T291" s="43" t="str">
        <f t="shared" si="28"/>
        <v/>
      </c>
      <c r="U291" s="42" t="str">
        <f t="shared" si="29"/>
        <v/>
      </c>
      <c r="V291" s="45">
        <f>(SUM($O$2:O291)-SUM($I$2:I291))</f>
        <v>-528.54</v>
      </c>
    </row>
    <row r="292" spans="1:22" x14ac:dyDescent="0.2">
      <c r="A292" s="44">
        <v>42</v>
      </c>
      <c r="B292" s="35" t="s">
        <v>92</v>
      </c>
      <c r="C292" s="36">
        <f t="shared" si="30"/>
        <v>46379</v>
      </c>
      <c r="D292" s="35" t="s">
        <v>35</v>
      </c>
      <c r="E292" s="37">
        <v>30</v>
      </c>
      <c r="F292" s="35" t="s">
        <v>23</v>
      </c>
      <c r="G292" s="35" t="s">
        <v>72</v>
      </c>
      <c r="H292" s="37">
        <v>25</v>
      </c>
      <c r="I292" s="38"/>
      <c r="J292" s="38" t="str">
        <f t="shared" si="31"/>
        <v/>
      </c>
      <c r="K292" s="35" t="s">
        <v>55</v>
      </c>
      <c r="L292" s="35"/>
      <c r="M292" s="39"/>
      <c r="N292" s="39"/>
      <c r="O292" s="40"/>
      <c r="P292" s="41"/>
      <c r="Q292" s="41"/>
      <c r="R292" s="42">
        <f t="shared" si="26"/>
        <v>0</v>
      </c>
      <c r="S292" s="43">
        <f t="shared" si="27"/>
        <v>55</v>
      </c>
      <c r="T292" s="43" t="str">
        <f t="shared" si="28"/>
        <v/>
      </c>
      <c r="U292" s="42" t="str">
        <f t="shared" si="29"/>
        <v/>
      </c>
      <c r="V292" s="45">
        <f>(SUM($O$2:O292)-SUM($I$2:I292))</f>
        <v>-528.54</v>
      </c>
    </row>
    <row r="293" spans="1:22" x14ac:dyDescent="0.2">
      <c r="A293" s="44">
        <v>42</v>
      </c>
      <c r="B293" s="35" t="s">
        <v>92</v>
      </c>
      <c r="C293" s="36">
        <f t="shared" si="30"/>
        <v>46380</v>
      </c>
      <c r="D293" s="35" t="s">
        <v>37</v>
      </c>
      <c r="E293" s="37">
        <v>10</v>
      </c>
      <c r="F293" s="35" t="s">
        <v>28</v>
      </c>
      <c r="G293" s="35" t="s">
        <v>73</v>
      </c>
      <c r="H293" s="37">
        <v>91</v>
      </c>
      <c r="I293" s="38">
        <v>7</v>
      </c>
      <c r="J293" s="38" t="str">
        <f t="shared" si="31"/>
        <v>13:00</v>
      </c>
      <c r="K293" s="35" t="s">
        <v>30</v>
      </c>
      <c r="L293" s="35"/>
      <c r="M293" s="39"/>
      <c r="N293" s="39"/>
      <c r="O293" s="40"/>
      <c r="P293" s="41"/>
      <c r="Q293" s="41"/>
      <c r="R293" s="42">
        <f t="shared" si="26"/>
        <v>0</v>
      </c>
      <c r="S293" s="43">
        <f t="shared" si="27"/>
        <v>101</v>
      </c>
      <c r="T293" s="43" t="str">
        <f t="shared" si="28"/>
        <v/>
      </c>
      <c r="U293" s="42" t="str">
        <f t="shared" si="29"/>
        <v/>
      </c>
      <c r="V293" s="45">
        <f>(SUM($O$2:O293)-SUM($I$2:I293))</f>
        <v>-535.54</v>
      </c>
    </row>
    <row r="294" spans="1:22" x14ac:dyDescent="0.2">
      <c r="A294" s="44">
        <v>42</v>
      </c>
      <c r="B294" s="35" t="s">
        <v>92</v>
      </c>
      <c r="C294" s="36">
        <f t="shared" si="30"/>
        <v>46381</v>
      </c>
      <c r="D294" s="35" t="s">
        <v>40</v>
      </c>
      <c r="E294" s="37">
        <v>30</v>
      </c>
      <c r="F294" s="35" t="s">
        <v>32</v>
      </c>
      <c r="G294" s="35" t="s">
        <v>74</v>
      </c>
      <c r="H294" s="37">
        <v>20</v>
      </c>
      <c r="I294" s="38"/>
      <c r="J294" s="38" t="str">
        <f t="shared" si="31"/>
        <v/>
      </c>
      <c r="K294" s="35" t="s">
        <v>58</v>
      </c>
      <c r="L294" s="35"/>
      <c r="M294" s="39"/>
      <c r="N294" s="39"/>
      <c r="O294" s="40"/>
      <c r="P294" s="41"/>
      <c r="Q294" s="41"/>
      <c r="R294" s="42">
        <f t="shared" si="26"/>
        <v>0</v>
      </c>
      <c r="S294" s="43">
        <f t="shared" si="27"/>
        <v>50</v>
      </c>
      <c r="T294" s="43" t="str">
        <f t="shared" si="28"/>
        <v/>
      </c>
      <c r="U294" s="42" t="str">
        <f t="shared" si="29"/>
        <v/>
      </c>
      <c r="V294" s="45">
        <f>(SUM($O$2:O294)-SUM($I$2:I294))</f>
        <v>-535.54</v>
      </c>
    </row>
    <row r="295" spans="1:22" x14ac:dyDescent="0.2">
      <c r="A295" s="44">
        <v>42</v>
      </c>
      <c r="B295" s="35" t="s">
        <v>92</v>
      </c>
      <c r="C295" s="36">
        <f t="shared" si="30"/>
        <v>46382</v>
      </c>
      <c r="D295" s="35" t="s">
        <v>44</v>
      </c>
      <c r="E295" s="37">
        <v>20</v>
      </c>
      <c r="F295" s="35" t="s">
        <v>45</v>
      </c>
      <c r="G295" s="35" t="s">
        <v>75</v>
      </c>
      <c r="H295" s="37">
        <v>30</v>
      </c>
      <c r="I295" s="38">
        <v>1.5</v>
      </c>
      <c r="J295" s="38" t="str">
        <f t="shared" si="31"/>
        <v>20:00</v>
      </c>
      <c r="K295" s="35" t="s">
        <v>60</v>
      </c>
      <c r="L295" s="35"/>
      <c r="M295" s="39"/>
      <c r="N295" s="39"/>
      <c r="O295" s="40"/>
      <c r="P295" s="41"/>
      <c r="Q295" s="41"/>
      <c r="R295" s="42">
        <f t="shared" si="26"/>
        <v>0</v>
      </c>
      <c r="S295" s="43">
        <f t="shared" si="27"/>
        <v>50</v>
      </c>
      <c r="T295" s="43" t="str">
        <f t="shared" si="28"/>
        <v/>
      </c>
      <c r="U295" s="42" t="str">
        <f t="shared" si="29"/>
        <v/>
      </c>
      <c r="V295" s="45">
        <f>(SUM($O$2:O295)-SUM($I$2:I295))</f>
        <v>-537.04</v>
      </c>
    </row>
    <row r="296" spans="1:22" x14ac:dyDescent="0.2">
      <c r="A296" s="44">
        <v>43</v>
      </c>
      <c r="B296" s="35" t="s">
        <v>92</v>
      </c>
      <c r="C296" s="36">
        <f t="shared" si="30"/>
        <v>46383</v>
      </c>
      <c r="D296" s="35" t="s">
        <v>22</v>
      </c>
      <c r="E296" s="37">
        <v>40</v>
      </c>
      <c r="F296" s="35" t="s">
        <v>85</v>
      </c>
      <c r="G296" s="35" t="s">
        <v>95</v>
      </c>
      <c r="H296" s="37">
        <v>193</v>
      </c>
      <c r="I296" s="38">
        <v>14</v>
      </c>
      <c r="J296" s="38" t="str">
        <f t="shared" si="31"/>
        <v>13:47</v>
      </c>
      <c r="K296" s="35" t="s">
        <v>87</v>
      </c>
      <c r="L296" s="35"/>
      <c r="M296" s="39"/>
      <c r="N296" s="39"/>
      <c r="O296" s="40"/>
      <c r="P296" s="41"/>
      <c r="Q296" s="41"/>
      <c r="R296" s="42">
        <f t="shared" si="26"/>
        <v>0</v>
      </c>
      <c r="S296" s="43">
        <f t="shared" si="27"/>
        <v>233</v>
      </c>
      <c r="T296" s="43" t="str">
        <f t="shared" si="28"/>
        <v/>
      </c>
      <c r="U296" s="42" t="str">
        <f t="shared" si="29"/>
        <v/>
      </c>
      <c r="V296" s="45">
        <f>(SUM($O$2:O296)-SUM($I$2:I296))</f>
        <v>-551.04</v>
      </c>
    </row>
    <row r="297" spans="1:22" x14ac:dyDescent="0.2">
      <c r="A297" s="44">
        <v>43</v>
      </c>
      <c r="B297" s="35" t="s">
        <v>92</v>
      </c>
      <c r="C297" s="36">
        <f t="shared" si="30"/>
        <v>46384</v>
      </c>
      <c r="D297" s="35" t="s">
        <v>27</v>
      </c>
      <c r="E297" s="37">
        <v>0</v>
      </c>
      <c r="F297" s="35" t="s">
        <v>48</v>
      </c>
      <c r="G297" s="35" t="s">
        <v>51</v>
      </c>
      <c r="H297" s="37">
        <v>0</v>
      </c>
      <c r="I297" s="38">
        <v>0</v>
      </c>
      <c r="J297" s="38" t="str">
        <f t="shared" si="31"/>
        <v/>
      </c>
      <c r="K297" s="35" t="s">
        <v>39</v>
      </c>
      <c r="L297" s="35" t="s">
        <v>43</v>
      </c>
      <c r="M297" s="39"/>
      <c r="N297" s="39"/>
      <c r="O297" s="40"/>
      <c r="P297" s="41"/>
      <c r="Q297" s="41"/>
      <c r="R297" s="42">
        <f t="shared" si="26"/>
        <v>1</v>
      </c>
      <c r="S297" s="43">
        <f t="shared" si="27"/>
        <v>0</v>
      </c>
      <c r="T297" s="43" t="str">
        <f t="shared" si="28"/>
        <v/>
      </c>
      <c r="U297" s="42" t="str">
        <f t="shared" si="29"/>
        <v/>
      </c>
      <c r="V297" s="45">
        <f>(SUM($O$2:O297)-SUM($I$2:I297))</f>
        <v>-551.04</v>
      </c>
    </row>
    <row r="298" spans="1:22" x14ac:dyDescent="0.2">
      <c r="A298" s="44">
        <v>43</v>
      </c>
      <c r="B298" s="35" t="s">
        <v>92</v>
      </c>
      <c r="C298" s="36">
        <f t="shared" si="30"/>
        <v>46385</v>
      </c>
      <c r="D298" s="35" t="s">
        <v>31</v>
      </c>
      <c r="E298" s="37">
        <v>30</v>
      </c>
      <c r="F298" s="35" t="s">
        <v>28</v>
      </c>
      <c r="G298" s="35" t="s">
        <v>52</v>
      </c>
      <c r="H298" s="37">
        <v>30</v>
      </c>
      <c r="I298" s="38">
        <v>1.5</v>
      </c>
      <c r="J298" s="38" t="str">
        <f t="shared" si="31"/>
        <v>20:00</v>
      </c>
      <c r="K298" s="35" t="s">
        <v>53</v>
      </c>
      <c r="L298" s="35"/>
      <c r="M298" s="39"/>
      <c r="N298" s="39"/>
      <c r="O298" s="40"/>
      <c r="P298" s="41"/>
      <c r="Q298" s="41"/>
      <c r="R298" s="42">
        <f t="shared" si="26"/>
        <v>0</v>
      </c>
      <c r="S298" s="43">
        <f t="shared" si="27"/>
        <v>60</v>
      </c>
      <c r="T298" s="43" t="str">
        <f t="shared" si="28"/>
        <v/>
      </c>
      <c r="U298" s="42" t="str">
        <f t="shared" si="29"/>
        <v/>
      </c>
      <c r="V298" s="45">
        <f>(SUM($O$2:O298)-SUM($I$2:I298))</f>
        <v>-552.54</v>
      </c>
    </row>
    <row r="299" spans="1:22" x14ac:dyDescent="0.2">
      <c r="A299" s="44">
        <v>43</v>
      </c>
      <c r="B299" s="35" t="s">
        <v>92</v>
      </c>
      <c r="C299" s="36">
        <f t="shared" si="30"/>
        <v>46386</v>
      </c>
      <c r="D299" s="35" t="s">
        <v>35</v>
      </c>
      <c r="E299" s="37">
        <v>40</v>
      </c>
      <c r="F299" s="35" t="s">
        <v>32</v>
      </c>
      <c r="G299" s="35" t="s">
        <v>54</v>
      </c>
      <c r="H299" s="37">
        <v>25</v>
      </c>
      <c r="I299" s="38"/>
      <c r="J299" s="38" t="str">
        <f t="shared" si="31"/>
        <v/>
      </c>
      <c r="K299" s="35" t="s">
        <v>55</v>
      </c>
      <c r="L299" s="35"/>
      <c r="M299" s="39"/>
      <c r="N299" s="39"/>
      <c r="O299" s="40"/>
      <c r="P299" s="41"/>
      <c r="Q299" s="41"/>
      <c r="R299" s="42">
        <f t="shared" si="26"/>
        <v>0</v>
      </c>
      <c r="S299" s="43">
        <f t="shared" si="27"/>
        <v>65</v>
      </c>
      <c r="T299" s="43" t="str">
        <f t="shared" si="28"/>
        <v/>
      </c>
      <c r="U299" s="42" t="str">
        <f t="shared" si="29"/>
        <v/>
      </c>
      <c r="V299" s="45">
        <f>(SUM($O$2:O299)-SUM($I$2:I299))</f>
        <v>-552.54</v>
      </c>
    </row>
    <row r="300" spans="1:22" x14ac:dyDescent="0.2">
      <c r="A300" s="44">
        <v>43</v>
      </c>
      <c r="B300" s="35" t="s">
        <v>92</v>
      </c>
      <c r="C300" s="36">
        <f t="shared" si="30"/>
        <v>46387</v>
      </c>
      <c r="D300" s="35" t="s">
        <v>37</v>
      </c>
      <c r="E300" s="37">
        <v>10</v>
      </c>
      <c r="F300" s="35" t="s">
        <v>28</v>
      </c>
      <c r="G300" s="35" t="s">
        <v>56</v>
      </c>
      <c r="H300" s="37">
        <v>78</v>
      </c>
      <c r="I300" s="38">
        <v>6</v>
      </c>
      <c r="J300" s="38" t="str">
        <f t="shared" si="31"/>
        <v>13:00</v>
      </c>
      <c r="K300" s="35" t="s">
        <v>30</v>
      </c>
      <c r="L300" s="35"/>
      <c r="M300" s="39"/>
      <c r="N300" s="39"/>
      <c r="O300" s="40"/>
      <c r="P300" s="41"/>
      <c r="Q300" s="41"/>
      <c r="R300" s="42">
        <f t="shared" si="26"/>
        <v>0</v>
      </c>
      <c r="S300" s="43">
        <f t="shared" si="27"/>
        <v>88</v>
      </c>
      <c r="T300" s="43" t="str">
        <f t="shared" si="28"/>
        <v/>
      </c>
      <c r="U300" s="42" t="str">
        <f t="shared" si="29"/>
        <v/>
      </c>
      <c r="V300" s="45">
        <f>(SUM($O$2:O300)-SUM($I$2:I300))</f>
        <v>-558.54</v>
      </c>
    </row>
    <row r="301" spans="1:22" x14ac:dyDescent="0.2">
      <c r="A301" s="44">
        <v>43</v>
      </c>
      <c r="B301" s="35" t="s">
        <v>92</v>
      </c>
      <c r="C301" s="36">
        <f t="shared" si="30"/>
        <v>46388</v>
      </c>
      <c r="D301" s="35" t="s">
        <v>40</v>
      </c>
      <c r="E301" s="37">
        <v>50</v>
      </c>
      <c r="F301" s="35" t="s">
        <v>23</v>
      </c>
      <c r="G301" s="35" t="s">
        <v>57</v>
      </c>
      <c r="H301" s="37">
        <v>20</v>
      </c>
      <c r="I301" s="38"/>
      <c r="J301" s="38" t="str">
        <f t="shared" si="31"/>
        <v/>
      </c>
      <c r="K301" s="35" t="s">
        <v>58</v>
      </c>
      <c r="L301" s="35"/>
      <c r="M301" s="39"/>
      <c r="N301" s="39"/>
      <c r="O301" s="40"/>
      <c r="P301" s="41"/>
      <c r="Q301" s="41"/>
      <c r="R301" s="42">
        <f t="shared" si="26"/>
        <v>0</v>
      </c>
      <c r="S301" s="43">
        <f t="shared" si="27"/>
        <v>70</v>
      </c>
      <c r="T301" s="43" t="str">
        <f t="shared" si="28"/>
        <v/>
      </c>
      <c r="U301" s="42" t="str">
        <f t="shared" si="29"/>
        <v/>
      </c>
      <c r="V301" s="45">
        <f>(SUM($O$2:O301)-SUM($I$2:I301))</f>
        <v>-558.54</v>
      </c>
    </row>
    <row r="302" spans="1:22" x14ac:dyDescent="0.2">
      <c r="A302" s="44">
        <v>43</v>
      </c>
      <c r="B302" s="35" t="s">
        <v>92</v>
      </c>
      <c r="C302" s="36">
        <f t="shared" si="30"/>
        <v>46389</v>
      </c>
      <c r="D302" s="35" t="s">
        <v>44</v>
      </c>
      <c r="E302" s="37">
        <v>15</v>
      </c>
      <c r="F302" s="35" t="s">
        <v>45</v>
      </c>
      <c r="G302" s="35" t="s">
        <v>59</v>
      </c>
      <c r="H302" s="37">
        <v>30</v>
      </c>
      <c r="I302" s="38">
        <v>1.5</v>
      </c>
      <c r="J302" s="38" t="str">
        <f t="shared" si="31"/>
        <v>20:00</v>
      </c>
      <c r="K302" s="35" t="s">
        <v>60</v>
      </c>
      <c r="L302" s="35"/>
      <c r="M302" s="39"/>
      <c r="N302" s="39"/>
      <c r="O302" s="40"/>
      <c r="P302" s="41"/>
      <c r="Q302" s="41"/>
      <c r="R302" s="42">
        <f t="shared" si="26"/>
        <v>0</v>
      </c>
      <c r="S302" s="43">
        <f t="shared" si="27"/>
        <v>45</v>
      </c>
      <c r="T302" s="43" t="str">
        <f t="shared" si="28"/>
        <v/>
      </c>
      <c r="U302" s="42" t="str">
        <f t="shared" si="29"/>
        <v/>
      </c>
      <c r="V302" s="45">
        <f>(SUM($O$2:O302)-SUM($I$2:I302))</f>
        <v>-560.04</v>
      </c>
    </row>
    <row r="303" spans="1:22" x14ac:dyDescent="0.2">
      <c r="A303" s="44">
        <v>44</v>
      </c>
      <c r="B303" s="35" t="s">
        <v>92</v>
      </c>
      <c r="C303" s="36">
        <f t="shared" si="30"/>
        <v>46390</v>
      </c>
      <c r="D303" s="35" t="s">
        <v>22</v>
      </c>
      <c r="E303" s="37">
        <v>60</v>
      </c>
      <c r="F303" s="35" t="s">
        <v>85</v>
      </c>
      <c r="G303" s="35" t="s">
        <v>94</v>
      </c>
      <c r="H303" s="37">
        <v>248</v>
      </c>
      <c r="I303" s="38">
        <v>18</v>
      </c>
      <c r="J303" s="38" t="str">
        <f t="shared" si="31"/>
        <v>13:47</v>
      </c>
      <c r="K303" s="35" t="s">
        <v>87</v>
      </c>
      <c r="L303" s="35"/>
      <c r="M303" s="39"/>
      <c r="N303" s="39"/>
      <c r="O303" s="40"/>
      <c r="P303" s="41"/>
      <c r="Q303" s="41"/>
      <c r="R303" s="42">
        <f t="shared" si="26"/>
        <v>0</v>
      </c>
      <c r="S303" s="43">
        <f t="shared" si="27"/>
        <v>308</v>
      </c>
      <c r="T303" s="43" t="str">
        <f t="shared" si="28"/>
        <v/>
      </c>
      <c r="U303" s="42" t="str">
        <f t="shared" si="29"/>
        <v/>
      </c>
      <c r="V303" s="45">
        <f>(SUM($O$2:O303)-SUM($I$2:I303))</f>
        <v>-578.04</v>
      </c>
    </row>
    <row r="304" spans="1:22" x14ac:dyDescent="0.2">
      <c r="A304" s="44">
        <v>44</v>
      </c>
      <c r="B304" s="35" t="s">
        <v>92</v>
      </c>
      <c r="C304" s="36">
        <f t="shared" si="30"/>
        <v>46391</v>
      </c>
      <c r="D304" s="35" t="s">
        <v>27</v>
      </c>
      <c r="E304" s="37">
        <v>0</v>
      </c>
      <c r="F304" s="35" t="s">
        <v>48</v>
      </c>
      <c r="G304" s="35" t="s">
        <v>51</v>
      </c>
      <c r="H304" s="37">
        <v>0</v>
      </c>
      <c r="I304" s="38">
        <v>0</v>
      </c>
      <c r="J304" s="38" t="str">
        <f t="shared" si="31"/>
        <v/>
      </c>
      <c r="K304" s="35" t="s">
        <v>39</v>
      </c>
      <c r="L304" s="35" t="s">
        <v>43</v>
      </c>
      <c r="M304" s="39"/>
      <c r="N304" s="39"/>
      <c r="O304" s="40"/>
      <c r="P304" s="41"/>
      <c r="Q304" s="41"/>
      <c r="R304" s="42">
        <f t="shared" si="26"/>
        <v>1</v>
      </c>
      <c r="S304" s="43">
        <f t="shared" si="27"/>
        <v>0</v>
      </c>
      <c r="T304" s="43" t="str">
        <f t="shared" si="28"/>
        <v/>
      </c>
      <c r="U304" s="42" t="str">
        <f t="shared" si="29"/>
        <v/>
      </c>
      <c r="V304" s="45">
        <f>(SUM($O$2:O304)-SUM($I$2:I304))</f>
        <v>-578.04</v>
      </c>
    </row>
    <row r="305" spans="1:22" x14ac:dyDescent="0.2">
      <c r="A305" s="44">
        <v>44</v>
      </c>
      <c r="B305" s="35" t="s">
        <v>92</v>
      </c>
      <c r="C305" s="36">
        <f t="shared" si="30"/>
        <v>46392</v>
      </c>
      <c r="D305" s="35" t="s">
        <v>31</v>
      </c>
      <c r="E305" s="37">
        <v>40</v>
      </c>
      <c r="F305" s="35" t="s">
        <v>23</v>
      </c>
      <c r="G305" s="35" t="s">
        <v>61</v>
      </c>
      <c r="H305" s="37">
        <v>30</v>
      </c>
      <c r="I305" s="38"/>
      <c r="J305" s="38" t="str">
        <f t="shared" si="31"/>
        <v/>
      </c>
      <c r="K305" s="35" t="s">
        <v>53</v>
      </c>
      <c r="L305" s="35"/>
      <c r="M305" s="39"/>
      <c r="N305" s="39"/>
      <c r="O305" s="40"/>
      <c r="P305" s="41"/>
      <c r="Q305" s="41"/>
      <c r="R305" s="42">
        <f t="shared" si="26"/>
        <v>0</v>
      </c>
      <c r="S305" s="43">
        <f t="shared" si="27"/>
        <v>70</v>
      </c>
      <c r="T305" s="43" t="str">
        <f t="shared" si="28"/>
        <v/>
      </c>
      <c r="U305" s="42" t="str">
        <f t="shared" si="29"/>
        <v/>
      </c>
      <c r="V305" s="45">
        <f>(SUM($O$2:O305)-SUM($I$2:I305))</f>
        <v>-578.04</v>
      </c>
    </row>
    <row r="306" spans="1:22" x14ac:dyDescent="0.2">
      <c r="A306" s="44">
        <v>44</v>
      </c>
      <c r="B306" s="35" t="s">
        <v>92</v>
      </c>
      <c r="C306" s="36">
        <f t="shared" si="30"/>
        <v>46393</v>
      </c>
      <c r="D306" s="35" t="s">
        <v>35</v>
      </c>
      <c r="E306" s="37">
        <v>50</v>
      </c>
      <c r="F306" s="35" t="s">
        <v>23</v>
      </c>
      <c r="G306" s="35" t="s">
        <v>24</v>
      </c>
      <c r="H306" s="37">
        <v>30</v>
      </c>
      <c r="I306" s="38"/>
      <c r="J306" s="38" t="str">
        <f t="shared" si="31"/>
        <v/>
      </c>
      <c r="K306" s="35" t="s">
        <v>55</v>
      </c>
      <c r="L306" s="35"/>
      <c r="M306" s="39"/>
      <c r="N306" s="39"/>
      <c r="O306" s="40"/>
      <c r="P306" s="41"/>
      <c r="Q306" s="41"/>
      <c r="R306" s="42">
        <f t="shared" si="26"/>
        <v>0</v>
      </c>
      <c r="S306" s="43">
        <f t="shared" si="27"/>
        <v>80</v>
      </c>
      <c r="T306" s="43" t="str">
        <f t="shared" si="28"/>
        <v/>
      </c>
      <c r="U306" s="42" t="str">
        <f t="shared" si="29"/>
        <v/>
      </c>
      <c r="V306" s="45">
        <f>(SUM($O$2:O306)-SUM($I$2:I306))</f>
        <v>-578.04</v>
      </c>
    </row>
    <row r="307" spans="1:22" x14ac:dyDescent="0.2">
      <c r="A307" s="44">
        <v>44</v>
      </c>
      <c r="B307" s="35" t="s">
        <v>92</v>
      </c>
      <c r="C307" s="36">
        <f t="shared" si="30"/>
        <v>46394</v>
      </c>
      <c r="D307" s="35" t="s">
        <v>37</v>
      </c>
      <c r="E307" s="37">
        <v>10</v>
      </c>
      <c r="F307" s="35" t="s">
        <v>28</v>
      </c>
      <c r="G307" s="35" t="s">
        <v>62</v>
      </c>
      <c r="H307" s="37">
        <v>91</v>
      </c>
      <c r="I307" s="38">
        <v>7</v>
      </c>
      <c r="J307" s="38" t="str">
        <f t="shared" si="31"/>
        <v>13:00</v>
      </c>
      <c r="K307" s="35" t="s">
        <v>30</v>
      </c>
      <c r="L307" s="35"/>
      <c r="M307" s="39"/>
      <c r="N307" s="39"/>
      <c r="O307" s="40"/>
      <c r="P307" s="41"/>
      <c r="Q307" s="41"/>
      <c r="R307" s="42">
        <f t="shared" si="26"/>
        <v>0</v>
      </c>
      <c r="S307" s="43">
        <f t="shared" si="27"/>
        <v>101</v>
      </c>
      <c r="T307" s="43" t="str">
        <f t="shared" si="28"/>
        <v/>
      </c>
      <c r="U307" s="42" t="str">
        <f t="shared" si="29"/>
        <v/>
      </c>
      <c r="V307" s="45">
        <f>(SUM($O$2:O307)-SUM($I$2:I307))</f>
        <v>-585.04</v>
      </c>
    </row>
    <row r="308" spans="1:22" x14ac:dyDescent="0.2">
      <c r="A308" s="44">
        <v>44</v>
      </c>
      <c r="B308" s="35" t="s">
        <v>92</v>
      </c>
      <c r="C308" s="36">
        <f t="shared" si="30"/>
        <v>46395</v>
      </c>
      <c r="D308" s="35" t="s">
        <v>40</v>
      </c>
      <c r="E308" s="37">
        <v>60</v>
      </c>
      <c r="F308" s="35" t="s">
        <v>32</v>
      </c>
      <c r="G308" s="35" t="s">
        <v>63</v>
      </c>
      <c r="H308" s="37">
        <v>20</v>
      </c>
      <c r="I308" s="38"/>
      <c r="J308" s="38" t="str">
        <f t="shared" si="31"/>
        <v/>
      </c>
      <c r="K308" s="35" t="s">
        <v>58</v>
      </c>
      <c r="L308" s="35"/>
      <c r="M308" s="39"/>
      <c r="N308" s="39"/>
      <c r="O308" s="40"/>
      <c r="P308" s="41"/>
      <c r="Q308" s="41"/>
      <c r="R308" s="42">
        <f t="shared" si="26"/>
        <v>0</v>
      </c>
      <c r="S308" s="43">
        <f t="shared" si="27"/>
        <v>80</v>
      </c>
      <c r="T308" s="43" t="str">
        <f t="shared" si="28"/>
        <v/>
      </c>
      <c r="U308" s="42" t="str">
        <f t="shared" si="29"/>
        <v/>
      </c>
      <c r="V308" s="45">
        <f>(SUM($O$2:O308)-SUM($I$2:I308))</f>
        <v>-585.04</v>
      </c>
    </row>
    <row r="309" spans="1:22" x14ac:dyDescent="0.2">
      <c r="A309" s="44">
        <v>44</v>
      </c>
      <c r="B309" s="35" t="s">
        <v>92</v>
      </c>
      <c r="C309" s="36">
        <f t="shared" si="30"/>
        <v>46396</v>
      </c>
      <c r="D309" s="35" t="s">
        <v>44</v>
      </c>
      <c r="E309" s="37">
        <v>20</v>
      </c>
      <c r="F309" s="35" t="s">
        <v>45</v>
      </c>
      <c r="G309" s="35" t="s">
        <v>64</v>
      </c>
      <c r="H309" s="37">
        <v>30</v>
      </c>
      <c r="I309" s="38">
        <v>1.5</v>
      </c>
      <c r="J309" s="38" t="str">
        <f t="shared" si="31"/>
        <v>20:00</v>
      </c>
      <c r="K309" s="35" t="s">
        <v>60</v>
      </c>
      <c r="L309" s="35"/>
      <c r="M309" s="39"/>
      <c r="N309" s="39"/>
      <c r="O309" s="40"/>
      <c r="P309" s="41"/>
      <c r="Q309" s="41"/>
      <c r="R309" s="42">
        <f t="shared" si="26"/>
        <v>0</v>
      </c>
      <c r="S309" s="43">
        <f t="shared" si="27"/>
        <v>50</v>
      </c>
      <c r="T309" s="43" t="str">
        <f t="shared" si="28"/>
        <v/>
      </c>
      <c r="U309" s="42" t="str">
        <f t="shared" si="29"/>
        <v/>
      </c>
      <c r="V309" s="45">
        <f>(SUM($O$2:O309)-SUM($I$2:I309))</f>
        <v>-586.54</v>
      </c>
    </row>
    <row r="310" spans="1:22" x14ac:dyDescent="0.2">
      <c r="A310" s="44">
        <v>45</v>
      </c>
      <c r="B310" s="35" t="s">
        <v>92</v>
      </c>
      <c r="C310" s="36">
        <f t="shared" si="30"/>
        <v>46397</v>
      </c>
      <c r="D310" s="35" t="s">
        <v>22</v>
      </c>
      <c r="E310" s="37">
        <v>40</v>
      </c>
      <c r="F310" s="35" t="s">
        <v>85</v>
      </c>
      <c r="G310" s="35" t="s">
        <v>94</v>
      </c>
      <c r="H310" s="37">
        <v>276</v>
      </c>
      <c r="I310" s="38">
        <v>20</v>
      </c>
      <c r="J310" s="38" t="str">
        <f t="shared" si="31"/>
        <v>13:48</v>
      </c>
      <c r="K310" s="35" t="s">
        <v>87</v>
      </c>
      <c r="L310" s="35"/>
      <c r="M310" s="39"/>
      <c r="N310" s="39"/>
      <c r="O310" s="40"/>
      <c r="P310" s="41"/>
      <c r="Q310" s="41"/>
      <c r="R310" s="42">
        <f t="shared" si="26"/>
        <v>0</v>
      </c>
      <c r="S310" s="43">
        <f t="shared" si="27"/>
        <v>316</v>
      </c>
      <c r="T310" s="43" t="str">
        <f t="shared" si="28"/>
        <v/>
      </c>
      <c r="U310" s="42" t="str">
        <f t="shared" si="29"/>
        <v/>
      </c>
      <c r="V310" s="45">
        <f>(SUM($O$2:O310)-SUM($I$2:I310))</f>
        <v>-606.54</v>
      </c>
    </row>
    <row r="311" spans="1:22" x14ac:dyDescent="0.2">
      <c r="A311" s="44">
        <v>45</v>
      </c>
      <c r="B311" s="35" t="s">
        <v>92</v>
      </c>
      <c r="C311" s="36">
        <f t="shared" si="30"/>
        <v>46398</v>
      </c>
      <c r="D311" s="35" t="s">
        <v>27</v>
      </c>
      <c r="E311" s="37">
        <v>0</v>
      </c>
      <c r="F311" s="35" t="s">
        <v>48</v>
      </c>
      <c r="G311" s="35" t="s">
        <v>51</v>
      </c>
      <c r="H311" s="37">
        <v>0</v>
      </c>
      <c r="I311" s="38">
        <v>0</v>
      </c>
      <c r="J311" s="38" t="str">
        <f t="shared" si="31"/>
        <v/>
      </c>
      <c r="K311" s="35" t="s">
        <v>39</v>
      </c>
      <c r="L311" s="35" t="s">
        <v>43</v>
      </c>
      <c r="M311" s="39"/>
      <c r="N311" s="39"/>
      <c r="O311" s="40"/>
      <c r="P311" s="41"/>
      <c r="Q311" s="41"/>
      <c r="R311" s="42">
        <f t="shared" si="26"/>
        <v>1</v>
      </c>
      <c r="S311" s="43">
        <f t="shared" si="27"/>
        <v>0</v>
      </c>
      <c r="T311" s="43" t="str">
        <f t="shared" si="28"/>
        <v/>
      </c>
      <c r="U311" s="42" t="str">
        <f t="shared" si="29"/>
        <v/>
      </c>
      <c r="V311" s="45">
        <f>(SUM($O$2:O311)-SUM($I$2:I311))</f>
        <v>-606.54</v>
      </c>
    </row>
    <row r="312" spans="1:22" x14ac:dyDescent="0.2">
      <c r="A312" s="44">
        <v>45</v>
      </c>
      <c r="B312" s="35" t="s">
        <v>92</v>
      </c>
      <c r="C312" s="36">
        <f t="shared" si="30"/>
        <v>46399</v>
      </c>
      <c r="D312" s="35" t="s">
        <v>31</v>
      </c>
      <c r="E312" s="37">
        <v>50</v>
      </c>
      <c r="F312" s="35" t="s">
        <v>32</v>
      </c>
      <c r="G312" s="35" t="s">
        <v>66</v>
      </c>
      <c r="H312" s="37">
        <v>25</v>
      </c>
      <c r="I312" s="38"/>
      <c r="J312" s="38" t="str">
        <f t="shared" si="31"/>
        <v/>
      </c>
      <c r="K312" s="35" t="s">
        <v>53</v>
      </c>
      <c r="L312" s="35"/>
      <c r="M312" s="39"/>
      <c r="N312" s="39"/>
      <c r="O312" s="40"/>
      <c r="P312" s="41"/>
      <c r="Q312" s="41"/>
      <c r="R312" s="42">
        <f t="shared" si="26"/>
        <v>0</v>
      </c>
      <c r="S312" s="43">
        <f t="shared" si="27"/>
        <v>75</v>
      </c>
      <c r="T312" s="43" t="str">
        <f t="shared" si="28"/>
        <v/>
      </c>
      <c r="U312" s="42" t="str">
        <f t="shared" si="29"/>
        <v/>
      </c>
      <c r="V312" s="45">
        <f>(SUM($O$2:O312)-SUM($I$2:I312))</f>
        <v>-606.54</v>
      </c>
    </row>
    <row r="313" spans="1:22" x14ac:dyDescent="0.2">
      <c r="A313" s="44">
        <v>45</v>
      </c>
      <c r="B313" s="35" t="s">
        <v>92</v>
      </c>
      <c r="C313" s="36">
        <f t="shared" si="30"/>
        <v>46400</v>
      </c>
      <c r="D313" s="35" t="s">
        <v>35</v>
      </c>
      <c r="E313" s="37">
        <v>60</v>
      </c>
      <c r="F313" s="35" t="s">
        <v>32</v>
      </c>
      <c r="G313" s="35" t="s">
        <v>67</v>
      </c>
      <c r="H313" s="37">
        <v>30</v>
      </c>
      <c r="I313" s="38"/>
      <c r="J313" s="38" t="str">
        <f t="shared" si="31"/>
        <v/>
      </c>
      <c r="K313" s="35" t="s">
        <v>55</v>
      </c>
      <c r="L313" s="35"/>
      <c r="M313" s="39"/>
      <c r="N313" s="39"/>
      <c r="O313" s="40"/>
      <c r="P313" s="41"/>
      <c r="Q313" s="41"/>
      <c r="R313" s="42">
        <f t="shared" si="26"/>
        <v>0</v>
      </c>
      <c r="S313" s="43">
        <f t="shared" si="27"/>
        <v>90</v>
      </c>
      <c r="T313" s="43" t="str">
        <f t="shared" si="28"/>
        <v/>
      </c>
      <c r="U313" s="42" t="str">
        <f t="shared" si="29"/>
        <v/>
      </c>
      <c r="V313" s="45">
        <f>(SUM($O$2:O313)-SUM($I$2:I313))</f>
        <v>-606.54</v>
      </c>
    </row>
    <row r="314" spans="1:22" x14ac:dyDescent="0.2">
      <c r="A314" s="44">
        <v>45</v>
      </c>
      <c r="B314" s="35" t="s">
        <v>92</v>
      </c>
      <c r="C314" s="36">
        <f t="shared" si="30"/>
        <v>46401</v>
      </c>
      <c r="D314" s="35" t="s">
        <v>37</v>
      </c>
      <c r="E314" s="37">
        <v>10</v>
      </c>
      <c r="F314" s="35" t="s">
        <v>28</v>
      </c>
      <c r="G314" s="35" t="s">
        <v>68</v>
      </c>
      <c r="H314" s="37">
        <v>91</v>
      </c>
      <c r="I314" s="38">
        <v>7</v>
      </c>
      <c r="J314" s="38" t="str">
        <f t="shared" si="31"/>
        <v>13:00</v>
      </c>
      <c r="K314" s="35" t="s">
        <v>30</v>
      </c>
      <c r="L314" s="35"/>
      <c r="M314" s="39"/>
      <c r="N314" s="39"/>
      <c r="O314" s="40"/>
      <c r="P314" s="41"/>
      <c r="Q314" s="41"/>
      <c r="R314" s="42">
        <f t="shared" si="26"/>
        <v>0</v>
      </c>
      <c r="S314" s="43">
        <f t="shared" si="27"/>
        <v>101</v>
      </c>
      <c r="T314" s="43" t="str">
        <f t="shared" si="28"/>
        <v/>
      </c>
      <c r="U314" s="42" t="str">
        <f t="shared" si="29"/>
        <v/>
      </c>
      <c r="V314" s="45">
        <f>(SUM($O$2:O314)-SUM($I$2:I314))</f>
        <v>-613.54</v>
      </c>
    </row>
    <row r="315" spans="1:22" x14ac:dyDescent="0.2">
      <c r="A315" s="44">
        <v>45</v>
      </c>
      <c r="B315" s="35" t="s">
        <v>92</v>
      </c>
      <c r="C315" s="36">
        <f t="shared" si="30"/>
        <v>46402</v>
      </c>
      <c r="D315" s="35" t="s">
        <v>40</v>
      </c>
      <c r="E315" s="37">
        <v>40</v>
      </c>
      <c r="F315" s="35" t="s">
        <v>23</v>
      </c>
      <c r="G315" s="35" t="s">
        <v>69</v>
      </c>
      <c r="H315" s="37">
        <v>25</v>
      </c>
      <c r="I315" s="38"/>
      <c r="J315" s="38" t="str">
        <f t="shared" si="31"/>
        <v/>
      </c>
      <c r="K315" s="35" t="s">
        <v>58</v>
      </c>
      <c r="L315" s="35"/>
      <c r="M315" s="39"/>
      <c r="N315" s="39"/>
      <c r="O315" s="40"/>
      <c r="P315" s="41"/>
      <c r="Q315" s="41"/>
      <c r="R315" s="42">
        <f t="shared" si="26"/>
        <v>0</v>
      </c>
      <c r="S315" s="43">
        <f t="shared" si="27"/>
        <v>65</v>
      </c>
      <c r="T315" s="43" t="str">
        <f t="shared" si="28"/>
        <v/>
      </c>
      <c r="U315" s="42" t="str">
        <f t="shared" si="29"/>
        <v/>
      </c>
      <c r="V315" s="45">
        <f>(SUM($O$2:O315)-SUM($I$2:I315))</f>
        <v>-613.54</v>
      </c>
    </row>
    <row r="316" spans="1:22" x14ac:dyDescent="0.2">
      <c r="A316" s="44">
        <v>45</v>
      </c>
      <c r="B316" s="35" t="s">
        <v>92</v>
      </c>
      <c r="C316" s="36">
        <f t="shared" si="30"/>
        <v>46403</v>
      </c>
      <c r="D316" s="35" t="s">
        <v>44</v>
      </c>
      <c r="E316" s="37">
        <v>15</v>
      </c>
      <c r="F316" s="35" t="s">
        <v>28</v>
      </c>
      <c r="G316" s="35" t="s">
        <v>70</v>
      </c>
      <c r="H316" s="37">
        <v>30</v>
      </c>
      <c r="I316" s="38">
        <v>1.5</v>
      </c>
      <c r="J316" s="38" t="str">
        <f t="shared" si="31"/>
        <v>20:00</v>
      </c>
      <c r="K316" s="35" t="s">
        <v>60</v>
      </c>
      <c r="L316" s="35"/>
      <c r="M316" s="39"/>
      <c r="N316" s="39"/>
      <c r="O316" s="40"/>
      <c r="P316" s="41"/>
      <c r="Q316" s="41"/>
      <c r="R316" s="42">
        <f t="shared" si="26"/>
        <v>0</v>
      </c>
      <c r="S316" s="43">
        <f t="shared" si="27"/>
        <v>45</v>
      </c>
      <c r="T316" s="43" t="str">
        <f t="shared" si="28"/>
        <v/>
      </c>
      <c r="U316" s="42" t="str">
        <f t="shared" si="29"/>
        <v/>
      </c>
      <c r="V316" s="45">
        <f>(SUM($O$2:O316)-SUM($I$2:I316))</f>
        <v>-615.04</v>
      </c>
    </row>
    <row r="317" spans="1:22" x14ac:dyDescent="0.2">
      <c r="A317" s="44">
        <v>46</v>
      </c>
      <c r="B317" s="35" t="s">
        <v>92</v>
      </c>
      <c r="C317" s="36">
        <f t="shared" si="30"/>
        <v>46404</v>
      </c>
      <c r="D317" s="35" t="s">
        <v>22</v>
      </c>
      <c r="E317" s="37">
        <v>60</v>
      </c>
      <c r="F317" s="35" t="s">
        <v>85</v>
      </c>
      <c r="G317" s="35" t="s">
        <v>95</v>
      </c>
      <c r="H317" s="37">
        <v>193</v>
      </c>
      <c r="I317" s="38">
        <v>14</v>
      </c>
      <c r="J317" s="38" t="str">
        <f t="shared" si="31"/>
        <v>13:47</v>
      </c>
      <c r="K317" s="35" t="s">
        <v>87</v>
      </c>
      <c r="L317" s="35"/>
      <c r="M317" s="39"/>
      <c r="N317" s="39"/>
      <c r="O317" s="40"/>
      <c r="P317" s="41"/>
      <c r="Q317" s="41"/>
      <c r="R317" s="42">
        <f t="shared" si="26"/>
        <v>0</v>
      </c>
      <c r="S317" s="43">
        <f t="shared" si="27"/>
        <v>253</v>
      </c>
      <c r="T317" s="43" t="str">
        <f t="shared" si="28"/>
        <v/>
      </c>
      <c r="U317" s="42" t="str">
        <f t="shared" si="29"/>
        <v/>
      </c>
      <c r="V317" s="45">
        <f>(SUM($O$2:O317)-SUM($I$2:I317))</f>
        <v>-629.04</v>
      </c>
    </row>
    <row r="318" spans="1:22" x14ac:dyDescent="0.2">
      <c r="A318" s="44">
        <v>46</v>
      </c>
      <c r="B318" s="35" t="s">
        <v>92</v>
      </c>
      <c r="C318" s="36">
        <f t="shared" si="30"/>
        <v>46405</v>
      </c>
      <c r="D318" s="35" t="s">
        <v>27</v>
      </c>
      <c r="E318" s="37">
        <v>0</v>
      </c>
      <c r="F318" s="35" t="s">
        <v>48</v>
      </c>
      <c r="G318" s="35" t="s">
        <v>51</v>
      </c>
      <c r="H318" s="37">
        <v>0</v>
      </c>
      <c r="I318" s="38">
        <v>0</v>
      </c>
      <c r="J318" s="38" t="str">
        <f t="shared" si="31"/>
        <v/>
      </c>
      <c r="K318" s="35" t="s">
        <v>39</v>
      </c>
      <c r="L318" s="35" t="s">
        <v>43</v>
      </c>
      <c r="M318" s="39"/>
      <c r="N318" s="39"/>
      <c r="O318" s="40"/>
      <c r="P318" s="41"/>
      <c r="Q318" s="41"/>
      <c r="R318" s="42">
        <f t="shared" si="26"/>
        <v>1</v>
      </c>
      <c r="S318" s="43">
        <f t="shared" si="27"/>
        <v>0</v>
      </c>
      <c r="T318" s="43" t="str">
        <f t="shared" si="28"/>
        <v/>
      </c>
      <c r="U318" s="42" t="str">
        <f t="shared" si="29"/>
        <v/>
      </c>
      <c r="V318" s="45">
        <f>(SUM($O$2:O318)-SUM($I$2:I318))</f>
        <v>-629.04</v>
      </c>
    </row>
    <row r="319" spans="1:22" x14ac:dyDescent="0.2">
      <c r="A319" s="44">
        <v>46</v>
      </c>
      <c r="B319" s="35" t="s">
        <v>92</v>
      </c>
      <c r="C319" s="36">
        <f t="shared" si="30"/>
        <v>46406</v>
      </c>
      <c r="D319" s="35" t="s">
        <v>31</v>
      </c>
      <c r="E319" s="37">
        <v>60</v>
      </c>
      <c r="F319" s="35" t="s">
        <v>28</v>
      </c>
      <c r="G319" s="35" t="s">
        <v>71</v>
      </c>
      <c r="H319" s="37">
        <v>35</v>
      </c>
      <c r="I319" s="38">
        <v>1.8</v>
      </c>
      <c r="J319" s="38" t="str">
        <f t="shared" si="31"/>
        <v>19:27</v>
      </c>
      <c r="K319" s="35" t="s">
        <v>53</v>
      </c>
      <c r="L319" s="35"/>
      <c r="M319" s="39"/>
      <c r="N319" s="39"/>
      <c r="O319" s="40"/>
      <c r="P319" s="41"/>
      <c r="Q319" s="41"/>
      <c r="R319" s="42">
        <f t="shared" si="26"/>
        <v>0</v>
      </c>
      <c r="S319" s="43">
        <f t="shared" si="27"/>
        <v>95</v>
      </c>
      <c r="T319" s="43" t="str">
        <f t="shared" si="28"/>
        <v/>
      </c>
      <c r="U319" s="42" t="str">
        <f t="shared" si="29"/>
        <v/>
      </c>
      <c r="V319" s="45">
        <f>(SUM($O$2:O319)-SUM($I$2:I319))</f>
        <v>-630.83999999999992</v>
      </c>
    </row>
    <row r="320" spans="1:22" x14ac:dyDescent="0.2">
      <c r="A320" s="44">
        <v>46</v>
      </c>
      <c r="B320" s="35" t="s">
        <v>92</v>
      </c>
      <c r="C320" s="36">
        <f t="shared" si="30"/>
        <v>46407</v>
      </c>
      <c r="D320" s="35" t="s">
        <v>35</v>
      </c>
      <c r="E320" s="37">
        <v>30</v>
      </c>
      <c r="F320" s="35" t="s">
        <v>23</v>
      </c>
      <c r="G320" s="35" t="s">
        <v>72</v>
      </c>
      <c r="H320" s="37">
        <v>25</v>
      </c>
      <c r="I320" s="38"/>
      <c r="J320" s="38" t="str">
        <f t="shared" si="31"/>
        <v/>
      </c>
      <c r="K320" s="35" t="s">
        <v>55</v>
      </c>
      <c r="L320" s="35"/>
      <c r="M320" s="39"/>
      <c r="N320" s="39"/>
      <c r="O320" s="40"/>
      <c r="P320" s="41"/>
      <c r="Q320" s="41"/>
      <c r="R320" s="42">
        <f t="shared" si="26"/>
        <v>0</v>
      </c>
      <c r="S320" s="43">
        <f t="shared" si="27"/>
        <v>55</v>
      </c>
      <c r="T320" s="43" t="str">
        <f t="shared" si="28"/>
        <v/>
      </c>
      <c r="U320" s="42" t="str">
        <f t="shared" si="29"/>
        <v/>
      </c>
      <c r="V320" s="45">
        <f>(SUM($O$2:O320)-SUM($I$2:I320))</f>
        <v>-630.83999999999992</v>
      </c>
    </row>
    <row r="321" spans="1:22" x14ac:dyDescent="0.2">
      <c r="A321" s="44">
        <v>46</v>
      </c>
      <c r="B321" s="35" t="s">
        <v>92</v>
      </c>
      <c r="C321" s="36">
        <f t="shared" si="30"/>
        <v>46408</v>
      </c>
      <c r="D321" s="35" t="s">
        <v>37</v>
      </c>
      <c r="E321" s="37">
        <v>10</v>
      </c>
      <c r="F321" s="35" t="s">
        <v>28</v>
      </c>
      <c r="G321" s="35" t="s">
        <v>73</v>
      </c>
      <c r="H321" s="37">
        <v>65</v>
      </c>
      <c r="I321" s="38">
        <v>5</v>
      </c>
      <c r="J321" s="38" t="str">
        <f t="shared" si="31"/>
        <v>13:00</v>
      </c>
      <c r="K321" s="35" t="s">
        <v>30</v>
      </c>
      <c r="L321" s="35"/>
      <c r="M321" s="39"/>
      <c r="N321" s="39"/>
      <c r="O321" s="40"/>
      <c r="P321" s="41"/>
      <c r="Q321" s="41"/>
      <c r="R321" s="42">
        <f t="shared" si="26"/>
        <v>0</v>
      </c>
      <c r="S321" s="43">
        <f t="shared" si="27"/>
        <v>75</v>
      </c>
      <c r="T321" s="43" t="str">
        <f t="shared" si="28"/>
        <v/>
      </c>
      <c r="U321" s="42" t="str">
        <f t="shared" si="29"/>
        <v/>
      </c>
      <c r="V321" s="45">
        <f>(SUM($O$2:O321)-SUM($I$2:I321))</f>
        <v>-635.83999999999992</v>
      </c>
    </row>
    <row r="322" spans="1:22" x14ac:dyDescent="0.2">
      <c r="A322" s="44">
        <v>46</v>
      </c>
      <c r="B322" s="35" t="s">
        <v>92</v>
      </c>
      <c r="C322" s="36">
        <f t="shared" si="30"/>
        <v>46409</v>
      </c>
      <c r="D322" s="35" t="s">
        <v>40</v>
      </c>
      <c r="E322" s="37">
        <v>30</v>
      </c>
      <c r="F322" s="35" t="s">
        <v>32</v>
      </c>
      <c r="G322" s="35" t="s">
        <v>74</v>
      </c>
      <c r="H322" s="37">
        <v>20</v>
      </c>
      <c r="I322" s="38"/>
      <c r="J322" s="38" t="str">
        <f t="shared" si="31"/>
        <v/>
      </c>
      <c r="K322" s="35" t="s">
        <v>58</v>
      </c>
      <c r="L322" s="35"/>
      <c r="M322" s="39"/>
      <c r="N322" s="39"/>
      <c r="O322" s="40"/>
      <c r="P322" s="41"/>
      <c r="Q322" s="41"/>
      <c r="R322" s="42">
        <f t="shared" ref="R322:R365" si="32">IF(L322="Done",1,IF(L322="Partial",0.5,IF(L322="Rest",1,0)))</f>
        <v>0</v>
      </c>
      <c r="S322" s="43">
        <f t="shared" ref="S322:S365" si="33">E322+H322</f>
        <v>50</v>
      </c>
      <c r="T322" s="43" t="str">
        <f t="shared" ref="T322:T365" si="34">IF(OR(M322&lt;&gt;"",N322&lt;&gt;""),M322+N322,"")</f>
        <v/>
      </c>
      <c r="U322" s="42" t="str">
        <f t="shared" ref="U322:U365" si="35">IF(O322="","",O322-I322)</f>
        <v/>
      </c>
      <c r="V322" s="45">
        <f>(SUM($O$2:O322)-SUM($I$2:I322))</f>
        <v>-635.83999999999992</v>
      </c>
    </row>
    <row r="323" spans="1:22" x14ac:dyDescent="0.2">
      <c r="A323" s="44">
        <v>46</v>
      </c>
      <c r="B323" s="35" t="s">
        <v>92</v>
      </c>
      <c r="C323" s="36">
        <f t="shared" ref="C323:C365" si="36">C322+1</f>
        <v>46410</v>
      </c>
      <c r="D323" s="35" t="s">
        <v>44</v>
      </c>
      <c r="E323" s="37">
        <v>20</v>
      </c>
      <c r="F323" s="35" t="s">
        <v>45</v>
      </c>
      <c r="G323" s="35" t="s">
        <v>75</v>
      </c>
      <c r="H323" s="37">
        <v>30</v>
      </c>
      <c r="I323" s="38">
        <v>1.5</v>
      </c>
      <c r="J323" s="38" t="str">
        <f t="shared" si="31"/>
        <v>20:00</v>
      </c>
      <c r="K323" s="35" t="s">
        <v>60</v>
      </c>
      <c r="L323" s="35"/>
      <c r="M323" s="39"/>
      <c r="N323" s="39"/>
      <c r="O323" s="40"/>
      <c r="P323" s="41"/>
      <c r="Q323" s="41"/>
      <c r="R323" s="42">
        <f t="shared" si="32"/>
        <v>0</v>
      </c>
      <c r="S323" s="43">
        <f t="shared" si="33"/>
        <v>50</v>
      </c>
      <c r="T323" s="43" t="str">
        <f t="shared" si="34"/>
        <v/>
      </c>
      <c r="U323" s="42" t="str">
        <f t="shared" si="35"/>
        <v/>
      </c>
      <c r="V323" s="45">
        <f>(SUM($O$2:O323)-SUM($I$2:I323))</f>
        <v>-637.33999999999992</v>
      </c>
    </row>
    <row r="324" spans="1:22" x14ac:dyDescent="0.2">
      <c r="A324" s="44">
        <v>47</v>
      </c>
      <c r="B324" s="35" t="s">
        <v>92</v>
      </c>
      <c r="C324" s="36">
        <f t="shared" si="36"/>
        <v>46411</v>
      </c>
      <c r="D324" s="35" t="s">
        <v>22</v>
      </c>
      <c r="E324" s="37">
        <v>40</v>
      </c>
      <c r="F324" s="35" t="s">
        <v>85</v>
      </c>
      <c r="G324" s="35" t="s">
        <v>95</v>
      </c>
      <c r="H324" s="37">
        <v>138</v>
      </c>
      <c r="I324" s="38">
        <v>10</v>
      </c>
      <c r="J324" s="38" t="str">
        <f t="shared" ref="J324:J365" si="37">IFERROR(TEXT(H324 / I324 / 1440, "m:ss"),"")</f>
        <v>13:48</v>
      </c>
      <c r="K324" s="35" t="s">
        <v>87</v>
      </c>
      <c r="L324" s="35"/>
      <c r="M324" s="39"/>
      <c r="N324" s="39"/>
      <c r="O324" s="40"/>
      <c r="P324" s="41"/>
      <c r="Q324" s="41"/>
      <c r="R324" s="42">
        <f t="shared" si="32"/>
        <v>0</v>
      </c>
      <c r="S324" s="43">
        <f t="shared" si="33"/>
        <v>178</v>
      </c>
      <c r="T324" s="43" t="str">
        <f t="shared" si="34"/>
        <v/>
      </c>
      <c r="U324" s="42" t="str">
        <f t="shared" si="35"/>
        <v/>
      </c>
      <c r="V324" s="45">
        <f>(SUM($O$2:O324)-SUM($I$2:I324))</f>
        <v>-647.33999999999992</v>
      </c>
    </row>
    <row r="325" spans="1:22" x14ac:dyDescent="0.2">
      <c r="A325" s="44">
        <v>47</v>
      </c>
      <c r="B325" s="35" t="s">
        <v>92</v>
      </c>
      <c r="C325" s="36">
        <f t="shared" si="36"/>
        <v>46412</v>
      </c>
      <c r="D325" s="35" t="s">
        <v>27</v>
      </c>
      <c r="E325" s="37">
        <v>0</v>
      </c>
      <c r="F325" s="35" t="s">
        <v>48</v>
      </c>
      <c r="G325" s="35" t="s">
        <v>51</v>
      </c>
      <c r="H325" s="37">
        <v>0</v>
      </c>
      <c r="I325" s="38">
        <v>0</v>
      </c>
      <c r="J325" s="38" t="str">
        <f t="shared" si="37"/>
        <v/>
      </c>
      <c r="K325" s="35" t="s">
        <v>39</v>
      </c>
      <c r="L325" s="35" t="s">
        <v>43</v>
      </c>
      <c r="M325" s="39"/>
      <c r="N325" s="39"/>
      <c r="O325" s="40"/>
      <c r="P325" s="41"/>
      <c r="Q325" s="41"/>
      <c r="R325" s="42">
        <f t="shared" si="32"/>
        <v>1</v>
      </c>
      <c r="S325" s="43">
        <f t="shared" si="33"/>
        <v>0</v>
      </c>
      <c r="T325" s="43" t="str">
        <f t="shared" si="34"/>
        <v/>
      </c>
      <c r="U325" s="42" t="str">
        <f t="shared" si="35"/>
        <v/>
      </c>
      <c r="V325" s="45">
        <f>(SUM($O$2:O325)-SUM($I$2:I325))</f>
        <v>-647.33999999999992</v>
      </c>
    </row>
    <row r="326" spans="1:22" x14ac:dyDescent="0.2">
      <c r="A326" s="44">
        <v>47</v>
      </c>
      <c r="B326" s="35" t="s">
        <v>92</v>
      </c>
      <c r="C326" s="36">
        <f t="shared" si="36"/>
        <v>46413</v>
      </c>
      <c r="D326" s="35" t="s">
        <v>31</v>
      </c>
      <c r="E326" s="37">
        <v>30</v>
      </c>
      <c r="F326" s="35" t="s">
        <v>28</v>
      </c>
      <c r="G326" s="35" t="s">
        <v>52</v>
      </c>
      <c r="H326" s="37">
        <v>30</v>
      </c>
      <c r="I326" s="38">
        <v>1.5</v>
      </c>
      <c r="J326" s="38" t="str">
        <f t="shared" si="37"/>
        <v>20:00</v>
      </c>
      <c r="K326" s="35" t="s">
        <v>53</v>
      </c>
      <c r="L326" s="35"/>
      <c r="M326" s="39"/>
      <c r="N326" s="39"/>
      <c r="O326" s="40"/>
      <c r="P326" s="41"/>
      <c r="Q326" s="41"/>
      <c r="R326" s="42">
        <f t="shared" si="32"/>
        <v>0</v>
      </c>
      <c r="S326" s="43">
        <f t="shared" si="33"/>
        <v>60</v>
      </c>
      <c r="T326" s="43" t="str">
        <f t="shared" si="34"/>
        <v/>
      </c>
      <c r="U326" s="42" t="str">
        <f t="shared" si="35"/>
        <v/>
      </c>
      <c r="V326" s="45">
        <f>(SUM($O$2:O326)-SUM($I$2:I326))</f>
        <v>-648.83999999999992</v>
      </c>
    </row>
    <row r="327" spans="1:22" x14ac:dyDescent="0.2">
      <c r="A327" s="44">
        <v>47</v>
      </c>
      <c r="B327" s="35" t="s">
        <v>92</v>
      </c>
      <c r="C327" s="36">
        <f t="shared" si="36"/>
        <v>46414</v>
      </c>
      <c r="D327" s="35" t="s">
        <v>35</v>
      </c>
      <c r="E327" s="37">
        <v>40</v>
      </c>
      <c r="F327" s="35" t="s">
        <v>32</v>
      </c>
      <c r="G327" s="35" t="s">
        <v>54</v>
      </c>
      <c r="H327" s="37">
        <v>25</v>
      </c>
      <c r="I327" s="38"/>
      <c r="J327" s="38" t="str">
        <f t="shared" si="37"/>
        <v/>
      </c>
      <c r="K327" s="35" t="s">
        <v>55</v>
      </c>
      <c r="L327" s="35"/>
      <c r="M327" s="39"/>
      <c r="N327" s="39"/>
      <c r="O327" s="40"/>
      <c r="P327" s="41"/>
      <c r="Q327" s="41"/>
      <c r="R327" s="42">
        <f t="shared" si="32"/>
        <v>0</v>
      </c>
      <c r="S327" s="43">
        <f t="shared" si="33"/>
        <v>65</v>
      </c>
      <c r="T327" s="43" t="str">
        <f t="shared" si="34"/>
        <v/>
      </c>
      <c r="U327" s="42" t="str">
        <f t="shared" si="35"/>
        <v/>
      </c>
      <c r="V327" s="45">
        <f>(SUM($O$2:O327)-SUM($I$2:I327))</f>
        <v>-648.83999999999992</v>
      </c>
    </row>
    <row r="328" spans="1:22" x14ac:dyDescent="0.2">
      <c r="A328" s="44">
        <v>47</v>
      </c>
      <c r="B328" s="35" t="s">
        <v>92</v>
      </c>
      <c r="C328" s="36">
        <f t="shared" si="36"/>
        <v>46415</v>
      </c>
      <c r="D328" s="35" t="s">
        <v>37</v>
      </c>
      <c r="E328" s="37">
        <v>10</v>
      </c>
      <c r="F328" s="35" t="s">
        <v>28</v>
      </c>
      <c r="G328" s="35" t="s">
        <v>56</v>
      </c>
      <c r="H328" s="37">
        <v>65</v>
      </c>
      <c r="I328" s="38">
        <v>5</v>
      </c>
      <c r="J328" s="38" t="str">
        <f t="shared" si="37"/>
        <v>13:00</v>
      </c>
      <c r="K328" s="35" t="s">
        <v>30</v>
      </c>
      <c r="L328" s="35"/>
      <c r="M328" s="39"/>
      <c r="N328" s="39"/>
      <c r="O328" s="40"/>
      <c r="P328" s="41"/>
      <c r="Q328" s="41"/>
      <c r="R328" s="42">
        <f t="shared" si="32"/>
        <v>0</v>
      </c>
      <c r="S328" s="43">
        <f t="shared" si="33"/>
        <v>75</v>
      </c>
      <c r="T328" s="43" t="str">
        <f t="shared" si="34"/>
        <v/>
      </c>
      <c r="U328" s="42" t="str">
        <f t="shared" si="35"/>
        <v/>
      </c>
      <c r="V328" s="45">
        <f>(SUM($O$2:O328)-SUM($I$2:I328))</f>
        <v>-653.83999999999992</v>
      </c>
    </row>
    <row r="329" spans="1:22" x14ac:dyDescent="0.2">
      <c r="A329" s="44">
        <v>47</v>
      </c>
      <c r="B329" s="35" t="s">
        <v>92</v>
      </c>
      <c r="C329" s="36">
        <f t="shared" si="36"/>
        <v>46416</v>
      </c>
      <c r="D329" s="35" t="s">
        <v>40</v>
      </c>
      <c r="E329" s="37">
        <v>50</v>
      </c>
      <c r="F329" s="35" t="s">
        <v>23</v>
      </c>
      <c r="G329" s="35" t="s">
        <v>57</v>
      </c>
      <c r="H329" s="37">
        <v>20</v>
      </c>
      <c r="I329" s="38"/>
      <c r="J329" s="38" t="str">
        <f t="shared" si="37"/>
        <v/>
      </c>
      <c r="K329" s="35" t="s">
        <v>58</v>
      </c>
      <c r="L329" s="35"/>
      <c r="M329" s="39"/>
      <c r="N329" s="39"/>
      <c r="O329" s="40"/>
      <c r="P329" s="41"/>
      <c r="Q329" s="41"/>
      <c r="R329" s="42">
        <f t="shared" si="32"/>
        <v>0</v>
      </c>
      <c r="S329" s="43">
        <f t="shared" si="33"/>
        <v>70</v>
      </c>
      <c r="T329" s="43" t="str">
        <f t="shared" si="34"/>
        <v/>
      </c>
      <c r="U329" s="42" t="str">
        <f t="shared" si="35"/>
        <v/>
      </c>
      <c r="V329" s="45">
        <f>(SUM($O$2:O329)-SUM($I$2:I329))</f>
        <v>-653.83999999999992</v>
      </c>
    </row>
    <row r="330" spans="1:22" x14ac:dyDescent="0.2">
      <c r="A330" s="44">
        <v>47</v>
      </c>
      <c r="B330" s="35" t="s">
        <v>92</v>
      </c>
      <c r="C330" s="36">
        <f t="shared" si="36"/>
        <v>46417</v>
      </c>
      <c r="D330" s="35" t="s">
        <v>44</v>
      </c>
      <c r="E330" s="37">
        <v>15</v>
      </c>
      <c r="F330" s="35" t="s">
        <v>45</v>
      </c>
      <c r="G330" s="35" t="s">
        <v>59</v>
      </c>
      <c r="H330" s="37">
        <v>30</v>
      </c>
      <c r="I330" s="38">
        <v>1.5</v>
      </c>
      <c r="J330" s="38" t="str">
        <f t="shared" si="37"/>
        <v>20:00</v>
      </c>
      <c r="K330" s="35" t="s">
        <v>60</v>
      </c>
      <c r="L330" s="35"/>
      <c r="M330" s="39"/>
      <c r="N330" s="39"/>
      <c r="O330" s="40"/>
      <c r="P330" s="41"/>
      <c r="Q330" s="41"/>
      <c r="R330" s="42">
        <f t="shared" si="32"/>
        <v>0</v>
      </c>
      <c r="S330" s="43">
        <f t="shared" si="33"/>
        <v>45</v>
      </c>
      <c r="T330" s="43" t="str">
        <f t="shared" si="34"/>
        <v/>
      </c>
      <c r="U330" s="42" t="str">
        <f t="shared" si="35"/>
        <v/>
      </c>
      <c r="V330" s="45">
        <f>(SUM($O$2:O330)-SUM($I$2:I330))</f>
        <v>-655.33999999999992</v>
      </c>
    </row>
    <row r="331" spans="1:22" x14ac:dyDescent="0.2">
      <c r="A331" s="44">
        <v>48</v>
      </c>
      <c r="B331" s="35" t="s">
        <v>92</v>
      </c>
      <c r="C331" s="36">
        <f t="shared" si="36"/>
        <v>46418</v>
      </c>
      <c r="D331" s="35" t="s">
        <v>22</v>
      </c>
      <c r="E331" s="37">
        <v>60</v>
      </c>
      <c r="F331" s="35" t="s">
        <v>85</v>
      </c>
      <c r="G331" s="35" t="s">
        <v>95</v>
      </c>
      <c r="H331" s="37">
        <v>110</v>
      </c>
      <c r="I331" s="38">
        <v>8</v>
      </c>
      <c r="J331" s="38" t="str">
        <f t="shared" si="37"/>
        <v>13:45</v>
      </c>
      <c r="K331" s="35" t="s">
        <v>87</v>
      </c>
      <c r="L331" s="35"/>
      <c r="M331" s="39"/>
      <c r="N331" s="39"/>
      <c r="O331" s="40"/>
      <c r="P331" s="41"/>
      <c r="Q331" s="41"/>
      <c r="R331" s="42">
        <f t="shared" si="32"/>
        <v>0</v>
      </c>
      <c r="S331" s="43">
        <f t="shared" si="33"/>
        <v>170</v>
      </c>
      <c r="T331" s="43" t="str">
        <f t="shared" si="34"/>
        <v/>
      </c>
      <c r="U331" s="42" t="str">
        <f t="shared" si="35"/>
        <v/>
      </c>
      <c r="V331" s="45">
        <f>(SUM($O$2:O331)-SUM($I$2:I331))</f>
        <v>-663.33999999999992</v>
      </c>
    </row>
    <row r="332" spans="1:22" x14ac:dyDescent="0.2">
      <c r="A332" s="44">
        <v>48</v>
      </c>
      <c r="B332" s="35" t="s">
        <v>92</v>
      </c>
      <c r="C332" s="36">
        <f t="shared" si="36"/>
        <v>46419</v>
      </c>
      <c r="D332" s="35" t="s">
        <v>27</v>
      </c>
      <c r="E332" s="37">
        <v>0</v>
      </c>
      <c r="F332" s="35" t="s">
        <v>48</v>
      </c>
      <c r="G332" s="35" t="s">
        <v>51</v>
      </c>
      <c r="H332" s="37">
        <v>0</v>
      </c>
      <c r="I332" s="38">
        <v>0</v>
      </c>
      <c r="J332" s="38" t="str">
        <f t="shared" si="37"/>
        <v/>
      </c>
      <c r="K332" s="35" t="s">
        <v>39</v>
      </c>
      <c r="L332" s="35" t="s">
        <v>43</v>
      </c>
      <c r="M332" s="39"/>
      <c r="N332" s="39"/>
      <c r="O332" s="40"/>
      <c r="P332" s="41"/>
      <c r="Q332" s="41"/>
      <c r="R332" s="42">
        <f t="shared" si="32"/>
        <v>1</v>
      </c>
      <c r="S332" s="43">
        <f t="shared" si="33"/>
        <v>0</v>
      </c>
      <c r="T332" s="43" t="str">
        <f t="shared" si="34"/>
        <v/>
      </c>
      <c r="U332" s="42" t="str">
        <f t="shared" si="35"/>
        <v/>
      </c>
      <c r="V332" s="45">
        <f>(SUM($O$2:O332)-SUM($I$2:I332))</f>
        <v>-663.33999999999992</v>
      </c>
    </row>
    <row r="333" spans="1:22" x14ac:dyDescent="0.2">
      <c r="A333" s="44">
        <v>48</v>
      </c>
      <c r="B333" s="35" t="s">
        <v>92</v>
      </c>
      <c r="C333" s="36">
        <f t="shared" si="36"/>
        <v>46420</v>
      </c>
      <c r="D333" s="35" t="s">
        <v>31</v>
      </c>
      <c r="E333" s="37">
        <v>40</v>
      </c>
      <c r="F333" s="35" t="s">
        <v>23</v>
      </c>
      <c r="G333" s="35" t="s">
        <v>61</v>
      </c>
      <c r="H333" s="37">
        <v>30</v>
      </c>
      <c r="I333" s="38"/>
      <c r="J333" s="38" t="str">
        <f t="shared" si="37"/>
        <v/>
      </c>
      <c r="K333" s="35" t="s">
        <v>53</v>
      </c>
      <c r="L333" s="35"/>
      <c r="M333" s="39"/>
      <c r="N333" s="39"/>
      <c r="O333" s="40"/>
      <c r="P333" s="41"/>
      <c r="Q333" s="41"/>
      <c r="R333" s="42">
        <f t="shared" si="32"/>
        <v>0</v>
      </c>
      <c r="S333" s="43">
        <f t="shared" si="33"/>
        <v>70</v>
      </c>
      <c r="T333" s="43" t="str">
        <f t="shared" si="34"/>
        <v/>
      </c>
      <c r="U333" s="42" t="str">
        <f t="shared" si="35"/>
        <v/>
      </c>
      <c r="V333" s="45">
        <f>(SUM($O$2:O333)-SUM($I$2:I333))</f>
        <v>-663.33999999999992</v>
      </c>
    </row>
    <row r="334" spans="1:22" x14ac:dyDescent="0.2">
      <c r="A334" s="44">
        <v>48</v>
      </c>
      <c r="B334" s="35" t="s">
        <v>92</v>
      </c>
      <c r="C334" s="36">
        <f t="shared" si="36"/>
        <v>46421</v>
      </c>
      <c r="D334" s="35" t="s">
        <v>35</v>
      </c>
      <c r="E334" s="37">
        <v>50</v>
      </c>
      <c r="F334" s="35" t="s">
        <v>23</v>
      </c>
      <c r="G334" s="35" t="s">
        <v>24</v>
      </c>
      <c r="H334" s="37">
        <v>30</v>
      </c>
      <c r="I334" s="38"/>
      <c r="J334" s="38" t="str">
        <f t="shared" si="37"/>
        <v/>
      </c>
      <c r="K334" s="35" t="s">
        <v>55</v>
      </c>
      <c r="L334" s="35"/>
      <c r="M334" s="39"/>
      <c r="N334" s="39"/>
      <c r="O334" s="40"/>
      <c r="P334" s="41"/>
      <c r="Q334" s="41"/>
      <c r="R334" s="42">
        <f t="shared" si="32"/>
        <v>0</v>
      </c>
      <c r="S334" s="43">
        <f t="shared" si="33"/>
        <v>80</v>
      </c>
      <c r="T334" s="43" t="str">
        <f t="shared" si="34"/>
        <v/>
      </c>
      <c r="U334" s="42" t="str">
        <f t="shared" si="35"/>
        <v/>
      </c>
      <c r="V334" s="45">
        <f>(SUM($O$2:O334)-SUM($I$2:I334))</f>
        <v>-663.33999999999992</v>
      </c>
    </row>
    <row r="335" spans="1:22" x14ac:dyDescent="0.2">
      <c r="A335" s="44">
        <v>48</v>
      </c>
      <c r="B335" s="35" t="s">
        <v>92</v>
      </c>
      <c r="C335" s="36">
        <f t="shared" si="36"/>
        <v>46422</v>
      </c>
      <c r="D335" s="35" t="s">
        <v>37</v>
      </c>
      <c r="E335" s="37">
        <v>10</v>
      </c>
      <c r="F335" s="35" t="s">
        <v>28</v>
      </c>
      <c r="G335" s="35" t="s">
        <v>62</v>
      </c>
      <c r="H335" s="37">
        <v>52</v>
      </c>
      <c r="I335" s="38">
        <v>4</v>
      </c>
      <c r="J335" s="38" t="str">
        <f t="shared" si="37"/>
        <v>13:00</v>
      </c>
      <c r="K335" s="35" t="s">
        <v>30</v>
      </c>
      <c r="L335" s="35"/>
      <c r="M335" s="39"/>
      <c r="N335" s="39"/>
      <c r="O335" s="40"/>
      <c r="P335" s="41"/>
      <c r="Q335" s="41"/>
      <c r="R335" s="42">
        <f t="shared" si="32"/>
        <v>0</v>
      </c>
      <c r="S335" s="43">
        <f t="shared" si="33"/>
        <v>62</v>
      </c>
      <c r="T335" s="43" t="str">
        <f t="shared" si="34"/>
        <v/>
      </c>
      <c r="U335" s="42" t="str">
        <f t="shared" si="35"/>
        <v/>
      </c>
      <c r="V335" s="45">
        <f>(SUM($O$2:O335)-SUM($I$2:I335))</f>
        <v>-667.33999999999992</v>
      </c>
    </row>
    <row r="336" spans="1:22" x14ac:dyDescent="0.2">
      <c r="A336" s="44">
        <v>48</v>
      </c>
      <c r="B336" s="35" t="s">
        <v>92</v>
      </c>
      <c r="C336" s="36">
        <f t="shared" si="36"/>
        <v>46423</v>
      </c>
      <c r="D336" s="35" t="s">
        <v>40</v>
      </c>
      <c r="E336" s="37">
        <v>60</v>
      </c>
      <c r="F336" s="35" t="s">
        <v>32</v>
      </c>
      <c r="G336" s="35" t="s">
        <v>63</v>
      </c>
      <c r="H336" s="37">
        <v>20</v>
      </c>
      <c r="I336" s="38"/>
      <c r="J336" s="38" t="str">
        <f t="shared" si="37"/>
        <v/>
      </c>
      <c r="K336" s="35" t="s">
        <v>58</v>
      </c>
      <c r="L336" s="35"/>
      <c r="M336" s="39"/>
      <c r="N336" s="39"/>
      <c r="O336" s="40"/>
      <c r="P336" s="41"/>
      <c r="Q336" s="41"/>
      <c r="R336" s="42">
        <f t="shared" si="32"/>
        <v>0</v>
      </c>
      <c r="S336" s="43">
        <f t="shared" si="33"/>
        <v>80</v>
      </c>
      <c r="T336" s="43" t="str">
        <f t="shared" si="34"/>
        <v/>
      </c>
      <c r="U336" s="42" t="str">
        <f t="shared" si="35"/>
        <v/>
      </c>
      <c r="V336" s="45">
        <f>(SUM($O$2:O336)-SUM($I$2:I336))</f>
        <v>-667.33999999999992</v>
      </c>
    </row>
    <row r="337" spans="1:22" x14ac:dyDescent="0.2">
      <c r="A337" s="44">
        <v>48</v>
      </c>
      <c r="B337" s="35" t="s">
        <v>92</v>
      </c>
      <c r="C337" s="36">
        <f t="shared" si="36"/>
        <v>46424</v>
      </c>
      <c r="D337" s="35" t="s">
        <v>44</v>
      </c>
      <c r="E337" s="37">
        <v>20</v>
      </c>
      <c r="F337" s="35" t="s">
        <v>45</v>
      </c>
      <c r="G337" s="35" t="s">
        <v>64</v>
      </c>
      <c r="H337" s="37">
        <v>30</v>
      </c>
      <c r="I337" s="38">
        <v>1.5</v>
      </c>
      <c r="J337" s="38" t="str">
        <f t="shared" si="37"/>
        <v>20:00</v>
      </c>
      <c r="K337" s="35" t="s">
        <v>60</v>
      </c>
      <c r="L337" s="35"/>
      <c r="M337" s="39"/>
      <c r="N337" s="39"/>
      <c r="O337" s="40"/>
      <c r="P337" s="41"/>
      <c r="Q337" s="41"/>
      <c r="R337" s="42">
        <f t="shared" si="32"/>
        <v>0</v>
      </c>
      <c r="S337" s="43">
        <f t="shared" si="33"/>
        <v>50</v>
      </c>
      <c r="T337" s="43" t="str">
        <f t="shared" si="34"/>
        <v/>
      </c>
      <c r="U337" s="42" t="str">
        <f t="shared" si="35"/>
        <v/>
      </c>
      <c r="V337" s="45">
        <f>(SUM($O$2:O337)-SUM($I$2:I337))</f>
        <v>-668.83999999999992</v>
      </c>
    </row>
    <row r="338" spans="1:22" x14ac:dyDescent="0.2">
      <c r="A338" s="44">
        <v>49</v>
      </c>
      <c r="B338" s="35" t="s">
        <v>96</v>
      </c>
      <c r="C338" s="36">
        <f t="shared" si="36"/>
        <v>46425</v>
      </c>
      <c r="D338" s="35" t="s">
        <v>22</v>
      </c>
      <c r="E338" s="37">
        <v>40</v>
      </c>
      <c r="F338" s="35" t="s">
        <v>85</v>
      </c>
      <c r="G338" s="35" t="s">
        <v>97</v>
      </c>
      <c r="H338" s="37">
        <v>110</v>
      </c>
      <c r="I338" s="38">
        <v>8</v>
      </c>
      <c r="J338" s="38" t="str">
        <f t="shared" si="37"/>
        <v>13:45</v>
      </c>
      <c r="K338" s="35" t="s">
        <v>98</v>
      </c>
      <c r="L338" s="35"/>
      <c r="M338" s="39"/>
      <c r="N338" s="39"/>
      <c r="O338" s="40"/>
      <c r="P338" s="41"/>
      <c r="Q338" s="41"/>
      <c r="R338" s="42">
        <f t="shared" si="32"/>
        <v>0</v>
      </c>
      <c r="S338" s="43">
        <f t="shared" si="33"/>
        <v>150</v>
      </c>
      <c r="T338" s="43" t="str">
        <f t="shared" si="34"/>
        <v/>
      </c>
      <c r="U338" s="42" t="str">
        <f t="shared" si="35"/>
        <v/>
      </c>
      <c r="V338" s="45">
        <f>(SUM($O$2:O338)-SUM($I$2:I338))</f>
        <v>-676.83999999999992</v>
      </c>
    </row>
    <row r="339" spans="1:22" x14ac:dyDescent="0.2">
      <c r="A339" s="44">
        <v>49</v>
      </c>
      <c r="B339" s="35" t="s">
        <v>96</v>
      </c>
      <c r="C339" s="36">
        <f t="shared" si="36"/>
        <v>46426</v>
      </c>
      <c r="D339" s="35" t="s">
        <v>27</v>
      </c>
      <c r="E339" s="37">
        <v>0</v>
      </c>
      <c r="F339" s="35" t="s">
        <v>48</v>
      </c>
      <c r="G339" s="35" t="s">
        <v>51</v>
      </c>
      <c r="H339" s="37">
        <v>0</v>
      </c>
      <c r="I339" s="38">
        <v>0</v>
      </c>
      <c r="J339" s="38" t="str">
        <f t="shared" si="37"/>
        <v/>
      </c>
      <c r="K339" s="35" t="s">
        <v>39</v>
      </c>
      <c r="L339" s="35" t="s">
        <v>43</v>
      </c>
      <c r="M339" s="39"/>
      <c r="N339" s="39"/>
      <c r="O339" s="40"/>
      <c r="P339" s="41"/>
      <c r="Q339" s="41"/>
      <c r="R339" s="42">
        <f t="shared" si="32"/>
        <v>1</v>
      </c>
      <c r="S339" s="43">
        <f t="shared" si="33"/>
        <v>0</v>
      </c>
      <c r="T339" s="43" t="str">
        <f t="shared" si="34"/>
        <v/>
      </c>
      <c r="U339" s="42" t="str">
        <f t="shared" si="35"/>
        <v/>
      </c>
      <c r="V339" s="45">
        <f>(SUM($O$2:O339)-SUM($I$2:I339))</f>
        <v>-676.83999999999992</v>
      </c>
    </row>
    <row r="340" spans="1:22" x14ac:dyDescent="0.2">
      <c r="A340" s="44">
        <v>49</v>
      </c>
      <c r="B340" s="35" t="s">
        <v>96</v>
      </c>
      <c r="C340" s="36">
        <f t="shared" si="36"/>
        <v>46427</v>
      </c>
      <c r="D340" s="35" t="s">
        <v>31</v>
      </c>
      <c r="E340" s="37">
        <v>50</v>
      </c>
      <c r="F340" s="35" t="s">
        <v>32</v>
      </c>
      <c r="G340" s="35" t="s">
        <v>66</v>
      </c>
      <c r="H340" s="37">
        <v>25</v>
      </c>
      <c r="I340" s="38"/>
      <c r="J340" s="38" t="str">
        <f t="shared" si="37"/>
        <v/>
      </c>
      <c r="K340" s="35" t="s">
        <v>53</v>
      </c>
      <c r="L340" s="35"/>
      <c r="M340" s="39"/>
      <c r="N340" s="39"/>
      <c r="O340" s="40"/>
      <c r="P340" s="41"/>
      <c r="Q340" s="41"/>
      <c r="R340" s="42">
        <f t="shared" si="32"/>
        <v>0</v>
      </c>
      <c r="S340" s="43">
        <f t="shared" si="33"/>
        <v>75</v>
      </c>
      <c r="T340" s="43" t="str">
        <f t="shared" si="34"/>
        <v/>
      </c>
      <c r="U340" s="42" t="str">
        <f t="shared" si="35"/>
        <v/>
      </c>
      <c r="V340" s="45">
        <f>(SUM($O$2:O340)-SUM($I$2:I340))</f>
        <v>-676.83999999999992</v>
      </c>
    </row>
    <row r="341" spans="1:22" x14ac:dyDescent="0.2">
      <c r="A341" s="44">
        <v>49</v>
      </c>
      <c r="B341" s="35" t="s">
        <v>96</v>
      </c>
      <c r="C341" s="36">
        <f t="shared" si="36"/>
        <v>46428</v>
      </c>
      <c r="D341" s="35" t="s">
        <v>35</v>
      </c>
      <c r="E341" s="37">
        <v>60</v>
      </c>
      <c r="F341" s="35" t="s">
        <v>32</v>
      </c>
      <c r="G341" s="35" t="s">
        <v>67</v>
      </c>
      <c r="H341" s="37">
        <v>30</v>
      </c>
      <c r="I341" s="38"/>
      <c r="J341" s="38" t="str">
        <f t="shared" si="37"/>
        <v/>
      </c>
      <c r="K341" s="35" t="s">
        <v>55</v>
      </c>
      <c r="L341" s="35"/>
      <c r="M341" s="39"/>
      <c r="N341" s="39"/>
      <c r="O341" s="40"/>
      <c r="P341" s="41"/>
      <c r="Q341" s="41"/>
      <c r="R341" s="42">
        <f t="shared" si="32"/>
        <v>0</v>
      </c>
      <c r="S341" s="43">
        <f t="shared" si="33"/>
        <v>90</v>
      </c>
      <c r="T341" s="43" t="str">
        <f t="shared" si="34"/>
        <v/>
      </c>
      <c r="U341" s="42" t="str">
        <f t="shared" si="35"/>
        <v/>
      </c>
      <c r="V341" s="45">
        <f>(SUM($O$2:O341)-SUM($I$2:I341))</f>
        <v>-676.83999999999992</v>
      </c>
    </row>
    <row r="342" spans="1:22" x14ac:dyDescent="0.2">
      <c r="A342" s="44">
        <v>49</v>
      </c>
      <c r="B342" s="35" t="s">
        <v>96</v>
      </c>
      <c r="C342" s="36">
        <f t="shared" si="36"/>
        <v>46429</v>
      </c>
      <c r="D342" s="35" t="s">
        <v>37</v>
      </c>
      <c r="E342" s="37">
        <v>10</v>
      </c>
      <c r="F342" s="35" t="s">
        <v>28</v>
      </c>
      <c r="G342" s="35" t="s">
        <v>68</v>
      </c>
      <c r="H342" s="37">
        <v>66</v>
      </c>
      <c r="I342" s="38">
        <v>5</v>
      </c>
      <c r="J342" s="38" t="str">
        <f t="shared" si="37"/>
        <v>13:12</v>
      </c>
      <c r="K342" s="35" t="s">
        <v>30</v>
      </c>
      <c r="L342" s="35"/>
      <c r="M342" s="39"/>
      <c r="N342" s="39"/>
      <c r="O342" s="40"/>
      <c r="P342" s="41"/>
      <c r="Q342" s="41"/>
      <c r="R342" s="42">
        <f t="shared" si="32"/>
        <v>0</v>
      </c>
      <c r="S342" s="43">
        <f t="shared" si="33"/>
        <v>76</v>
      </c>
      <c r="T342" s="43" t="str">
        <f t="shared" si="34"/>
        <v/>
      </c>
      <c r="U342" s="42" t="str">
        <f t="shared" si="35"/>
        <v/>
      </c>
      <c r="V342" s="45">
        <f>(SUM($O$2:O342)-SUM($I$2:I342))</f>
        <v>-681.83999999999992</v>
      </c>
    </row>
    <row r="343" spans="1:22" x14ac:dyDescent="0.2">
      <c r="A343" s="44">
        <v>49</v>
      </c>
      <c r="B343" s="35" t="s">
        <v>96</v>
      </c>
      <c r="C343" s="36">
        <f t="shared" si="36"/>
        <v>46430</v>
      </c>
      <c r="D343" s="35" t="s">
        <v>40</v>
      </c>
      <c r="E343" s="37">
        <v>40</v>
      </c>
      <c r="F343" s="35" t="s">
        <v>23</v>
      </c>
      <c r="G343" s="35" t="s">
        <v>69</v>
      </c>
      <c r="H343" s="37">
        <v>25</v>
      </c>
      <c r="I343" s="38"/>
      <c r="J343" s="38" t="str">
        <f t="shared" si="37"/>
        <v/>
      </c>
      <c r="K343" s="35" t="s">
        <v>58</v>
      </c>
      <c r="L343" s="35"/>
      <c r="M343" s="39"/>
      <c r="N343" s="39"/>
      <c r="O343" s="40"/>
      <c r="P343" s="41"/>
      <c r="Q343" s="41"/>
      <c r="R343" s="42">
        <f t="shared" si="32"/>
        <v>0</v>
      </c>
      <c r="S343" s="43">
        <f t="shared" si="33"/>
        <v>65</v>
      </c>
      <c r="T343" s="43" t="str">
        <f t="shared" si="34"/>
        <v/>
      </c>
      <c r="U343" s="42" t="str">
        <f t="shared" si="35"/>
        <v/>
      </c>
      <c r="V343" s="45">
        <f>(SUM($O$2:O343)-SUM($I$2:I343))</f>
        <v>-681.83999999999992</v>
      </c>
    </row>
    <row r="344" spans="1:22" x14ac:dyDescent="0.2">
      <c r="A344" s="44">
        <v>49</v>
      </c>
      <c r="B344" s="35" t="s">
        <v>96</v>
      </c>
      <c r="C344" s="36">
        <f t="shared" si="36"/>
        <v>46431</v>
      </c>
      <c r="D344" s="35" t="s">
        <v>44</v>
      </c>
      <c r="E344" s="37">
        <v>15</v>
      </c>
      <c r="F344" s="35" t="s">
        <v>28</v>
      </c>
      <c r="G344" s="35" t="s">
        <v>70</v>
      </c>
      <c r="H344" s="37">
        <v>25</v>
      </c>
      <c r="I344" s="38">
        <v>1.2</v>
      </c>
      <c r="J344" s="38" t="str">
        <f t="shared" si="37"/>
        <v>20:50</v>
      </c>
      <c r="K344" s="35" t="s">
        <v>60</v>
      </c>
      <c r="L344" s="35"/>
      <c r="M344" s="39"/>
      <c r="N344" s="39"/>
      <c r="O344" s="40"/>
      <c r="P344" s="41"/>
      <c r="Q344" s="41"/>
      <c r="R344" s="42">
        <f t="shared" si="32"/>
        <v>0</v>
      </c>
      <c r="S344" s="43">
        <f t="shared" si="33"/>
        <v>40</v>
      </c>
      <c r="T344" s="43" t="str">
        <f t="shared" si="34"/>
        <v/>
      </c>
      <c r="U344" s="42" t="str">
        <f t="shared" si="35"/>
        <v/>
      </c>
      <c r="V344" s="45">
        <f>(SUM($O$2:O344)-SUM($I$2:I344))</f>
        <v>-683.04</v>
      </c>
    </row>
    <row r="345" spans="1:22" x14ac:dyDescent="0.2">
      <c r="A345" s="44">
        <v>50</v>
      </c>
      <c r="B345" s="35" t="s">
        <v>96</v>
      </c>
      <c r="C345" s="36">
        <f t="shared" si="36"/>
        <v>46432</v>
      </c>
      <c r="D345" s="35" t="s">
        <v>22</v>
      </c>
      <c r="E345" s="37">
        <v>60</v>
      </c>
      <c r="F345" s="35" t="s">
        <v>85</v>
      </c>
      <c r="G345" s="35" t="s">
        <v>97</v>
      </c>
      <c r="H345" s="37">
        <v>83</v>
      </c>
      <c r="I345" s="38">
        <v>6</v>
      </c>
      <c r="J345" s="38" t="str">
        <f t="shared" si="37"/>
        <v>13:50</v>
      </c>
      <c r="K345" s="35" t="s">
        <v>98</v>
      </c>
      <c r="L345" s="35"/>
      <c r="M345" s="39"/>
      <c r="N345" s="39"/>
      <c r="O345" s="40"/>
      <c r="P345" s="41"/>
      <c r="Q345" s="41"/>
      <c r="R345" s="42">
        <f t="shared" si="32"/>
        <v>0</v>
      </c>
      <c r="S345" s="43">
        <f t="shared" si="33"/>
        <v>143</v>
      </c>
      <c r="T345" s="43" t="str">
        <f t="shared" si="34"/>
        <v/>
      </c>
      <c r="U345" s="42" t="str">
        <f t="shared" si="35"/>
        <v/>
      </c>
      <c r="V345" s="45">
        <f>(SUM($O$2:O345)-SUM($I$2:I345))</f>
        <v>-689.04</v>
      </c>
    </row>
    <row r="346" spans="1:22" x14ac:dyDescent="0.2">
      <c r="A346" s="44">
        <v>50</v>
      </c>
      <c r="B346" s="35" t="s">
        <v>96</v>
      </c>
      <c r="C346" s="36">
        <f t="shared" si="36"/>
        <v>46433</v>
      </c>
      <c r="D346" s="35" t="s">
        <v>27</v>
      </c>
      <c r="E346" s="37">
        <v>0</v>
      </c>
      <c r="F346" s="35" t="s">
        <v>48</v>
      </c>
      <c r="G346" s="35" t="s">
        <v>51</v>
      </c>
      <c r="H346" s="37">
        <v>0</v>
      </c>
      <c r="I346" s="38">
        <v>0</v>
      </c>
      <c r="J346" s="38" t="str">
        <f t="shared" si="37"/>
        <v/>
      </c>
      <c r="K346" s="35" t="s">
        <v>39</v>
      </c>
      <c r="L346" s="35" t="s">
        <v>43</v>
      </c>
      <c r="M346" s="39"/>
      <c r="N346" s="39"/>
      <c r="O346" s="40"/>
      <c r="P346" s="41"/>
      <c r="Q346" s="41"/>
      <c r="R346" s="42">
        <f t="shared" si="32"/>
        <v>1</v>
      </c>
      <c r="S346" s="43">
        <f t="shared" si="33"/>
        <v>0</v>
      </c>
      <c r="T346" s="43" t="str">
        <f t="shared" si="34"/>
        <v/>
      </c>
      <c r="U346" s="42" t="str">
        <f t="shared" si="35"/>
        <v/>
      </c>
      <c r="V346" s="45">
        <f>(SUM($O$2:O346)-SUM($I$2:I346))</f>
        <v>-689.04</v>
      </c>
    </row>
    <row r="347" spans="1:22" x14ac:dyDescent="0.2">
      <c r="A347" s="44">
        <v>50</v>
      </c>
      <c r="B347" s="35" t="s">
        <v>96</v>
      </c>
      <c r="C347" s="36">
        <f t="shared" si="36"/>
        <v>46434</v>
      </c>
      <c r="D347" s="35" t="s">
        <v>31</v>
      </c>
      <c r="E347" s="37">
        <v>60</v>
      </c>
      <c r="F347" s="35" t="s">
        <v>28</v>
      </c>
      <c r="G347" s="35" t="s">
        <v>71</v>
      </c>
      <c r="H347" s="37">
        <v>35</v>
      </c>
      <c r="I347" s="38">
        <v>1.8</v>
      </c>
      <c r="J347" s="38" t="str">
        <f t="shared" si="37"/>
        <v>19:27</v>
      </c>
      <c r="K347" s="35" t="s">
        <v>53</v>
      </c>
      <c r="L347" s="35"/>
      <c r="M347" s="39"/>
      <c r="N347" s="39"/>
      <c r="O347" s="40"/>
      <c r="P347" s="41"/>
      <c r="Q347" s="41"/>
      <c r="R347" s="42">
        <f t="shared" si="32"/>
        <v>0</v>
      </c>
      <c r="S347" s="43">
        <f t="shared" si="33"/>
        <v>95</v>
      </c>
      <c r="T347" s="43" t="str">
        <f t="shared" si="34"/>
        <v/>
      </c>
      <c r="U347" s="42" t="str">
        <f t="shared" si="35"/>
        <v/>
      </c>
      <c r="V347" s="45">
        <f>(SUM($O$2:O347)-SUM($I$2:I347))</f>
        <v>-690.83999999999992</v>
      </c>
    </row>
    <row r="348" spans="1:22" x14ac:dyDescent="0.2">
      <c r="A348" s="44">
        <v>50</v>
      </c>
      <c r="B348" s="35" t="s">
        <v>96</v>
      </c>
      <c r="C348" s="36">
        <f t="shared" si="36"/>
        <v>46435</v>
      </c>
      <c r="D348" s="35" t="s">
        <v>35</v>
      </c>
      <c r="E348" s="37">
        <v>30</v>
      </c>
      <c r="F348" s="35" t="s">
        <v>23</v>
      </c>
      <c r="G348" s="35" t="s">
        <v>72</v>
      </c>
      <c r="H348" s="37">
        <v>25</v>
      </c>
      <c r="I348" s="38"/>
      <c r="J348" s="38" t="str">
        <f t="shared" si="37"/>
        <v/>
      </c>
      <c r="K348" s="35" t="s">
        <v>55</v>
      </c>
      <c r="L348" s="35"/>
      <c r="M348" s="39"/>
      <c r="N348" s="39"/>
      <c r="O348" s="40"/>
      <c r="P348" s="41"/>
      <c r="Q348" s="41"/>
      <c r="R348" s="42">
        <f t="shared" si="32"/>
        <v>0</v>
      </c>
      <c r="S348" s="43">
        <f t="shared" si="33"/>
        <v>55</v>
      </c>
      <c r="T348" s="43" t="str">
        <f t="shared" si="34"/>
        <v/>
      </c>
      <c r="U348" s="42" t="str">
        <f t="shared" si="35"/>
        <v/>
      </c>
      <c r="V348" s="45">
        <f>(SUM($O$2:O348)-SUM($I$2:I348))</f>
        <v>-690.83999999999992</v>
      </c>
    </row>
    <row r="349" spans="1:22" x14ac:dyDescent="0.2">
      <c r="A349" s="44">
        <v>50</v>
      </c>
      <c r="B349" s="35" t="s">
        <v>96</v>
      </c>
      <c r="C349" s="36">
        <f t="shared" si="36"/>
        <v>46436</v>
      </c>
      <c r="D349" s="35" t="s">
        <v>37</v>
      </c>
      <c r="E349" s="37">
        <v>10</v>
      </c>
      <c r="F349" s="35" t="s">
        <v>28</v>
      </c>
      <c r="G349" s="35" t="s">
        <v>73</v>
      </c>
      <c r="H349" s="37">
        <v>53</v>
      </c>
      <c r="I349" s="38">
        <v>4</v>
      </c>
      <c r="J349" s="38" t="str">
        <f t="shared" si="37"/>
        <v>13:15</v>
      </c>
      <c r="K349" s="35" t="s">
        <v>30</v>
      </c>
      <c r="L349" s="35"/>
      <c r="M349" s="39"/>
      <c r="N349" s="39"/>
      <c r="O349" s="40"/>
      <c r="P349" s="41"/>
      <c r="Q349" s="41"/>
      <c r="R349" s="42">
        <f t="shared" si="32"/>
        <v>0</v>
      </c>
      <c r="S349" s="43">
        <f t="shared" si="33"/>
        <v>63</v>
      </c>
      <c r="T349" s="43" t="str">
        <f t="shared" si="34"/>
        <v/>
      </c>
      <c r="U349" s="42" t="str">
        <f t="shared" si="35"/>
        <v/>
      </c>
      <c r="V349" s="45">
        <f>(SUM($O$2:O349)-SUM($I$2:I349))</f>
        <v>-694.83999999999992</v>
      </c>
    </row>
    <row r="350" spans="1:22" x14ac:dyDescent="0.2">
      <c r="A350" s="44">
        <v>50</v>
      </c>
      <c r="B350" s="35" t="s">
        <v>96</v>
      </c>
      <c r="C350" s="36">
        <f t="shared" si="36"/>
        <v>46437</v>
      </c>
      <c r="D350" s="35" t="s">
        <v>40</v>
      </c>
      <c r="E350" s="37">
        <v>30</v>
      </c>
      <c r="F350" s="35" t="s">
        <v>32</v>
      </c>
      <c r="G350" s="35" t="s">
        <v>74</v>
      </c>
      <c r="H350" s="37">
        <v>20</v>
      </c>
      <c r="I350" s="38"/>
      <c r="J350" s="38" t="str">
        <f t="shared" si="37"/>
        <v/>
      </c>
      <c r="K350" s="35" t="s">
        <v>58</v>
      </c>
      <c r="L350" s="35"/>
      <c r="M350" s="39"/>
      <c r="N350" s="39"/>
      <c r="O350" s="40"/>
      <c r="P350" s="41"/>
      <c r="Q350" s="41"/>
      <c r="R350" s="42">
        <f t="shared" si="32"/>
        <v>0</v>
      </c>
      <c r="S350" s="43">
        <f t="shared" si="33"/>
        <v>50</v>
      </c>
      <c r="T350" s="43" t="str">
        <f t="shared" si="34"/>
        <v/>
      </c>
      <c r="U350" s="42" t="str">
        <f t="shared" si="35"/>
        <v/>
      </c>
      <c r="V350" s="45">
        <f>(SUM($O$2:O350)-SUM($I$2:I350))</f>
        <v>-694.83999999999992</v>
      </c>
    </row>
    <row r="351" spans="1:22" x14ac:dyDescent="0.2">
      <c r="A351" s="44">
        <v>50</v>
      </c>
      <c r="B351" s="35" t="s">
        <v>96</v>
      </c>
      <c r="C351" s="36">
        <f t="shared" si="36"/>
        <v>46438</v>
      </c>
      <c r="D351" s="35" t="s">
        <v>44</v>
      </c>
      <c r="E351" s="37">
        <v>20</v>
      </c>
      <c r="F351" s="35" t="s">
        <v>45</v>
      </c>
      <c r="G351" s="35" t="s">
        <v>75</v>
      </c>
      <c r="H351" s="37">
        <v>25</v>
      </c>
      <c r="I351" s="38">
        <v>1.2</v>
      </c>
      <c r="J351" s="38" t="str">
        <f t="shared" si="37"/>
        <v>20:50</v>
      </c>
      <c r="K351" s="35" t="s">
        <v>60</v>
      </c>
      <c r="L351" s="35"/>
      <c r="M351" s="39"/>
      <c r="N351" s="39"/>
      <c r="O351" s="40"/>
      <c r="P351" s="41"/>
      <c r="Q351" s="41"/>
      <c r="R351" s="42">
        <f t="shared" si="32"/>
        <v>0</v>
      </c>
      <c r="S351" s="43">
        <f t="shared" si="33"/>
        <v>45</v>
      </c>
      <c r="T351" s="43" t="str">
        <f t="shared" si="34"/>
        <v/>
      </c>
      <c r="U351" s="42" t="str">
        <f t="shared" si="35"/>
        <v/>
      </c>
      <c r="V351" s="45">
        <f>(SUM($O$2:O351)-SUM($I$2:I351))</f>
        <v>-696.04</v>
      </c>
    </row>
    <row r="352" spans="1:22" x14ac:dyDescent="0.2">
      <c r="A352" s="44">
        <v>51</v>
      </c>
      <c r="B352" s="35" t="s">
        <v>96</v>
      </c>
      <c r="C352" s="36">
        <f t="shared" si="36"/>
        <v>46439</v>
      </c>
      <c r="D352" s="35" t="s">
        <v>22</v>
      </c>
      <c r="E352" s="37">
        <v>40</v>
      </c>
      <c r="F352" s="35" t="s">
        <v>85</v>
      </c>
      <c r="G352" s="35" t="s">
        <v>99</v>
      </c>
      <c r="H352" s="37">
        <v>55</v>
      </c>
      <c r="I352" s="38">
        <v>4</v>
      </c>
      <c r="J352" s="38" t="str">
        <f t="shared" si="37"/>
        <v>13:45</v>
      </c>
      <c r="K352" s="35" t="s">
        <v>98</v>
      </c>
      <c r="L352" s="35"/>
      <c r="M352" s="39"/>
      <c r="N352" s="39"/>
      <c r="O352" s="40"/>
      <c r="P352" s="41"/>
      <c r="Q352" s="41"/>
      <c r="R352" s="42">
        <f t="shared" si="32"/>
        <v>0</v>
      </c>
      <c r="S352" s="43">
        <f t="shared" si="33"/>
        <v>95</v>
      </c>
      <c r="T352" s="43" t="str">
        <f t="shared" si="34"/>
        <v/>
      </c>
      <c r="U352" s="42" t="str">
        <f t="shared" si="35"/>
        <v/>
      </c>
      <c r="V352" s="45">
        <f>(SUM($O$2:O352)-SUM($I$2:I352))</f>
        <v>-700.04</v>
      </c>
    </row>
    <row r="353" spans="1:22" x14ac:dyDescent="0.2">
      <c r="A353" s="44">
        <v>51</v>
      </c>
      <c r="B353" s="35" t="s">
        <v>96</v>
      </c>
      <c r="C353" s="36">
        <f t="shared" si="36"/>
        <v>46440</v>
      </c>
      <c r="D353" s="35" t="s">
        <v>27</v>
      </c>
      <c r="E353" s="37">
        <v>0</v>
      </c>
      <c r="F353" s="35" t="s">
        <v>48</v>
      </c>
      <c r="G353" s="35" t="s">
        <v>51</v>
      </c>
      <c r="H353" s="37">
        <v>0</v>
      </c>
      <c r="I353" s="38">
        <v>0</v>
      </c>
      <c r="J353" s="38" t="str">
        <f t="shared" si="37"/>
        <v/>
      </c>
      <c r="K353" s="35" t="s">
        <v>39</v>
      </c>
      <c r="L353" s="35" t="s">
        <v>43</v>
      </c>
      <c r="M353" s="39"/>
      <c r="N353" s="39"/>
      <c r="O353" s="40"/>
      <c r="P353" s="41"/>
      <c r="Q353" s="41"/>
      <c r="R353" s="42">
        <f t="shared" si="32"/>
        <v>1</v>
      </c>
      <c r="S353" s="43">
        <f t="shared" si="33"/>
        <v>0</v>
      </c>
      <c r="T353" s="43" t="str">
        <f t="shared" si="34"/>
        <v/>
      </c>
      <c r="U353" s="42" t="str">
        <f t="shared" si="35"/>
        <v/>
      </c>
      <c r="V353" s="45">
        <f>(SUM($O$2:O353)-SUM($I$2:I353))</f>
        <v>-700.04</v>
      </c>
    </row>
    <row r="354" spans="1:22" x14ac:dyDescent="0.2">
      <c r="A354" s="44">
        <v>51</v>
      </c>
      <c r="B354" s="35" t="s">
        <v>96</v>
      </c>
      <c r="C354" s="36">
        <f t="shared" si="36"/>
        <v>46441</v>
      </c>
      <c r="D354" s="35" t="s">
        <v>31</v>
      </c>
      <c r="E354" s="37">
        <v>30</v>
      </c>
      <c r="F354" s="35" t="s">
        <v>28</v>
      </c>
      <c r="G354" s="35" t="s">
        <v>52</v>
      </c>
      <c r="H354" s="37">
        <v>30</v>
      </c>
      <c r="I354" s="38">
        <v>1.5</v>
      </c>
      <c r="J354" s="38" t="str">
        <f t="shared" si="37"/>
        <v>20:00</v>
      </c>
      <c r="K354" s="35" t="s">
        <v>53</v>
      </c>
      <c r="L354" s="35"/>
      <c r="M354" s="39"/>
      <c r="N354" s="39"/>
      <c r="O354" s="40"/>
      <c r="P354" s="41"/>
      <c r="Q354" s="41"/>
      <c r="R354" s="42">
        <f t="shared" si="32"/>
        <v>0</v>
      </c>
      <c r="S354" s="43">
        <f t="shared" si="33"/>
        <v>60</v>
      </c>
      <c r="T354" s="43" t="str">
        <f t="shared" si="34"/>
        <v/>
      </c>
      <c r="U354" s="42" t="str">
        <f t="shared" si="35"/>
        <v/>
      </c>
      <c r="V354" s="45">
        <f>(SUM($O$2:O354)-SUM($I$2:I354))</f>
        <v>-701.54</v>
      </c>
    </row>
    <row r="355" spans="1:22" x14ac:dyDescent="0.2">
      <c r="A355" s="44">
        <v>51</v>
      </c>
      <c r="B355" s="35" t="s">
        <v>96</v>
      </c>
      <c r="C355" s="36">
        <f t="shared" si="36"/>
        <v>46442</v>
      </c>
      <c r="D355" s="35" t="s">
        <v>35</v>
      </c>
      <c r="E355" s="37">
        <v>40</v>
      </c>
      <c r="F355" s="35" t="s">
        <v>32</v>
      </c>
      <c r="G355" s="35" t="s">
        <v>54</v>
      </c>
      <c r="H355" s="37">
        <v>25</v>
      </c>
      <c r="I355" s="38"/>
      <c r="J355" s="38" t="str">
        <f t="shared" si="37"/>
        <v/>
      </c>
      <c r="K355" s="35" t="s">
        <v>55</v>
      </c>
      <c r="L355" s="35"/>
      <c r="M355" s="39"/>
      <c r="N355" s="39"/>
      <c r="O355" s="40"/>
      <c r="P355" s="41"/>
      <c r="Q355" s="41"/>
      <c r="R355" s="42">
        <f t="shared" si="32"/>
        <v>0</v>
      </c>
      <c r="S355" s="43">
        <f t="shared" si="33"/>
        <v>65</v>
      </c>
      <c r="T355" s="43" t="str">
        <f t="shared" si="34"/>
        <v/>
      </c>
      <c r="U355" s="42" t="str">
        <f t="shared" si="35"/>
        <v/>
      </c>
      <c r="V355" s="45">
        <f>(SUM($O$2:O355)-SUM($I$2:I355))</f>
        <v>-701.54</v>
      </c>
    </row>
    <row r="356" spans="1:22" x14ac:dyDescent="0.2">
      <c r="A356" s="44">
        <v>51</v>
      </c>
      <c r="B356" s="35" t="s">
        <v>96</v>
      </c>
      <c r="C356" s="36">
        <f t="shared" si="36"/>
        <v>46443</v>
      </c>
      <c r="D356" s="35" t="s">
        <v>37</v>
      </c>
      <c r="E356" s="37">
        <v>10</v>
      </c>
      <c r="F356" s="35" t="s">
        <v>28</v>
      </c>
      <c r="G356" s="35" t="s">
        <v>56</v>
      </c>
      <c r="H356" s="37">
        <v>40</v>
      </c>
      <c r="I356" s="38">
        <v>3</v>
      </c>
      <c r="J356" s="38" t="str">
        <f t="shared" si="37"/>
        <v>13:20</v>
      </c>
      <c r="K356" s="35" t="s">
        <v>30</v>
      </c>
      <c r="L356" s="35"/>
      <c r="M356" s="39"/>
      <c r="N356" s="39"/>
      <c r="O356" s="40"/>
      <c r="P356" s="41"/>
      <c r="Q356" s="41"/>
      <c r="R356" s="42">
        <f t="shared" si="32"/>
        <v>0</v>
      </c>
      <c r="S356" s="43">
        <f t="shared" si="33"/>
        <v>50</v>
      </c>
      <c r="T356" s="43" t="str">
        <f t="shared" si="34"/>
        <v/>
      </c>
      <c r="U356" s="42" t="str">
        <f t="shared" si="35"/>
        <v/>
      </c>
      <c r="V356" s="45">
        <f>(SUM($O$2:O356)-SUM($I$2:I356))</f>
        <v>-704.54</v>
      </c>
    </row>
    <row r="357" spans="1:22" x14ac:dyDescent="0.2">
      <c r="A357" s="44">
        <v>51</v>
      </c>
      <c r="B357" s="35" t="s">
        <v>96</v>
      </c>
      <c r="C357" s="36">
        <f t="shared" si="36"/>
        <v>46444</v>
      </c>
      <c r="D357" s="35" t="s">
        <v>40</v>
      </c>
      <c r="E357" s="37">
        <v>50</v>
      </c>
      <c r="F357" s="35" t="s">
        <v>23</v>
      </c>
      <c r="G357" s="35" t="s">
        <v>57</v>
      </c>
      <c r="H357" s="37">
        <v>20</v>
      </c>
      <c r="I357" s="38"/>
      <c r="J357" s="38" t="str">
        <f t="shared" si="37"/>
        <v/>
      </c>
      <c r="K357" s="35" t="s">
        <v>58</v>
      </c>
      <c r="L357" s="35"/>
      <c r="M357" s="39"/>
      <c r="N357" s="39"/>
      <c r="O357" s="40"/>
      <c r="P357" s="41"/>
      <c r="Q357" s="41"/>
      <c r="R357" s="42">
        <f t="shared" si="32"/>
        <v>0</v>
      </c>
      <c r="S357" s="43">
        <f t="shared" si="33"/>
        <v>70</v>
      </c>
      <c r="T357" s="43" t="str">
        <f t="shared" si="34"/>
        <v/>
      </c>
      <c r="U357" s="42" t="str">
        <f t="shared" si="35"/>
        <v/>
      </c>
      <c r="V357" s="45">
        <f>(SUM($O$2:O357)-SUM($I$2:I357))</f>
        <v>-704.54</v>
      </c>
    </row>
    <row r="358" spans="1:22" x14ac:dyDescent="0.2">
      <c r="A358" s="44">
        <v>51</v>
      </c>
      <c r="B358" s="35" t="s">
        <v>96</v>
      </c>
      <c r="C358" s="36">
        <f t="shared" si="36"/>
        <v>46445</v>
      </c>
      <c r="D358" s="35" t="s">
        <v>44</v>
      </c>
      <c r="E358" s="37">
        <v>15</v>
      </c>
      <c r="F358" s="35" t="s">
        <v>45</v>
      </c>
      <c r="G358" s="35" t="s">
        <v>59</v>
      </c>
      <c r="H358" s="37">
        <v>25</v>
      </c>
      <c r="I358" s="38">
        <v>1.2</v>
      </c>
      <c r="J358" s="38" t="str">
        <f t="shared" si="37"/>
        <v>20:50</v>
      </c>
      <c r="K358" s="35" t="s">
        <v>60</v>
      </c>
      <c r="L358" s="35"/>
      <c r="M358" s="39"/>
      <c r="N358" s="39"/>
      <c r="O358" s="40"/>
      <c r="P358" s="41"/>
      <c r="Q358" s="41"/>
      <c r="R358" s="42">
        <f t="shared" si="32"/>
        <v>0</v>
      </c>
      <c r="S358" s="43">
        <f t="shared" si="33"/>
        <v>40</v>
      </c>
      <c r="T358" s="43" t="str">
        <f t="shared" si="34"/>
        <v/>
      </c>
      <c r="U358" s="42" t="str">
        <f t="shared" si="35"/>
        <v/>
      </c>
      <c r="V358" s="45">
        <f>(SUM($O$2:O358)-SUM($I$2:I358))</f>
        <v>-705.74</v>
      </c>
    </row>
    <row r="359" spans="1:22" x14ac:dyDescent="0.2">
      <c r="A359" s="44">
        <v>52</v>
      </c>
      <c r="B359" s="35" t="s">
        <v>96</v>
      </c>
      <c r="C359" s="36">
        <f t="shared" si="36"/>
        <v>46446</v>
      </c>
      <c r="D359" s="35" t="s">
        <v>22</v>
      </c>
      <c r="E359" s="37">
        <v>60</v>
      </c>
      <c r="F359" s="35" t="s">
        <v>85</v>
      </c>
      <c r="G359" s="35" t="s">
        <v>100</v>
      </c>
      <c r="H359" s="37">
        <v>20</v>
      </c>
      <c r="I359" s="38">
        <v>1</v>
      </c>
      <c r="J359" s="38" t="str">
        <f t="shared" si="37"/>
        <v>20:00</v>
      </c>
      <c r="K359" s="35" t="s">
        <v>98</v>
      </c>
      <c r="L359" s="35"/>
      <c r="M359" s="39"/>
      <c r="N359" s="39"/>
      <c r="O359" s="40"/>
      <c r="P359" s="41"/>
      <c r="Q359" s="41"/>
      <c r="R359" s="42">
        <f t="shared" si="32"/>
        <v>0</v>
      </c>
      <c r="S359" s="43">
        <f t="shared" si="33"/>
        <v>80</v>
      </c>
      <c r="T359" s="43" t="str">
        <f t="shared" si="34"/>
        <v/>
      </c>
      <c r="U359" s="42" t="str">
        <f t="shared" si="35"/>
        <v/>
      </c>
      <c r="V359" s="45">
        <f>(SUM($O$2:O359)-SUM($I$2:I359))</f>
        <v>-706.74</v>
      </c>
    </row>
    <row r="360" spans="1:22" x14ac:dyDescent="0.2">
      <c r="A360" s="44">
        <v>52</v>
      </c>
      <c r="B360" s="35" t="s">
        <v>96</v>
      </c>
      <c r="C360" s="36">
        <f t="shared" si="36"/>
        <v>46447</v>
      </c>
      <c r="D360" s="35" t="s">
        <v>27</v>
      </c>
      <c r="E360" s="37">
        <v>0</v>
      </c>
      <c r="F360" s="35" t="s">
        <v>48</v>
      </c>
      <c r="G360" s="35" t="s">
        <v>51</v>
      </c>
      <c r="H360" s="37">
        <v>0</v>
      </c>
      <c r="I360" s="38">
        <v>0</v>
      </c>
      <c r="J360" s="38" t="str">
        <f t="shared" si="37"/>
        <v/>
      </c>
      <c r="K360" s="35" t="s">
        <v>39</v>
      </c>
      <c r="L360" s="35" t="s">
        <v>43</v>
      </c>
      <c r="M360" s="39"/>
      <c r="N360" s="39"/>
      <c r="O360" s="40"/>
      <c r="P360" s="41"/>
      <c r="Q360" s="41"/>
      <c r="R360" s="42">
        <f t="shared" si="32"/>
        <v>1</v>
      </c>
      <c r="S360" s="43">
        <f t="shared" si="33"/>
        <v>0</v>
      </c>
      <c r="T360" s="43" t="str">
        <f t="shared" si="34"/>
        <v/>
      </c>
      <c r="U360" s="42" t="str">
        <f t="shared" si="35"/>
        <v/>
      </c>
      <c r="V360" s="45">
        <f>(SUM($O$2:O360)-SUM($I$2:I360))</f>
        <v>-706.74</v>
      </c>
    </row>
    <row r="361" spans="1:22" x14ac:dyDescent="0.2">
      <c r="A361" s="44">
        <v>52</v>
      </c>
      <c r="B361" s="35" t="s">
        <v>96</v>
      </c>
      <c r="C361" s="36">
        <f t="shared" si="36"/>
        <v>46448</v>
      </c>
      <c r="D361" s="35" t="s">
        <v>31</v>
      </c>
      <c r="E361" s="37">
        <v>40</v>
      </c>
      <c r="F361" s="35" t="s">
        <v>23</v>
      </c>
      <c r="G361" s="35" t="s">
        <v>61</v>
      </c>
      <c r="H361" s="37">
        <v>30</v>
      </c>
      <c r="I361" s="38"/>
      <c r="J361" s="38" t="str">
        <f t="shared" si="37"/>
        <v/>
      </c>
      <c r="K361" s="35" t="s">
        <v>53</v>
      </c>
      <c r="L361" s="35"/>
      <c r="M361" s="39"/>
      <c r="N361" s="39"/>
      <c r="O361" s="40"/>
      <c r="P361" s="41"/>
      <c r="Q361" s="41"/>
      <c r="R361" s="42">
        <f t="shared" si="32"/>
        <v>0</v>
      </c>
      <c r="S361" s="43">
        <f t="shared" si="33"/>
        <v>70</v>
      </c>
      <c r="T361" s="43" t="str">
        <f t="shared" si="34"/>
        <v/>
      </c>
      <c r="U361" s="42" t="str">
        <f t="shared" si="35"/>
        <v/>
      </c>
      <c r="V361" s="45">
        <f>(SUM($O$2:O361)-SUM($I$2:I361))</f>
        <v>-706.74</v>
      </c>
    </row>
    <row r="362" spans="1:22" x14ac:dyDescent="0.2">
      <c r="A362" s="44">
        <v>52</v>
      </c>
      <c r="B362" s="35" t="s">
        <v>96</v>
      </c>
      <c r="C362" s="36">
        <f t="shared" si="36"/>
        <v>46449</v>
      </c>
      <c r="D362" s="35" t="s">
        <v>35</v>
      </c>
      <c r="E362" s="37">
        <v>50</v>
      </c>
      <c r="F362" s="35" t="s">
        <v>23</v>
      </c>
      <c r="G362" s="35" t="s">
        <v>24</v>
      </c>
      <c r="H362" s="37">
        <v>30</v>
      </c>
      <c r="I362" s="38"/>
      <c r="J362" s="38" t="str">
        <f t="shared" si="37"/>
        <v/>
      </c>
      <c r="K362" s="35" t="s">
        <v>55</v>
      </c>
      <c r="L362" s="35"/>
      <c r="M362" s="39"/>
      <c r="N362" s="39"/>
      <c r="O362" s="40"/>
      <c r="P362" s="41"/>
      <c r="Q362" s="41"/>
      <c r="R362" s="42">
        <f t="shared" si="32"/>
        <v>0</v>
      </c>
      <c r="S362" s="43">
        <f t="shared" si="33"/>
        <v>80</v>
      </c>
      <c r="T362" s="43" t="str">
        <f t="shared" si="34"/>
        <v/>
      </c>
      <c r="U362" s="42" t="str">
        <f t="shared" si="35"/>
        <v/>
      </c>
      <c r="V362" s="45">
        <f>(SUM($O$2:O362)-SUM($I$2:I362))</f>
        <v>-706.74</v>
      </c>
    </row>
    <row r="363" spans="1:22" x14ac:dyDescent="0.2">
      <c r="A363" s="44">
        <v>52</v>
      </c>
      <c r="B363" s="35" t="s">
        <v>96</v>
      </c>
      <c r="C363" s="36">
        <f t="shared" si="36"/>
        <v>46450</v>
      </c>
      <c r="D363" s="35" t="s">
        <v>37</v>
      </c>
      <c r="E363" s="37">
        <v>40</v>
      </c>
      <c r="F363" s="35" t="s">
        <v>28</v>
      </c>
      <c r="G363" s="35" t="s">
        <v>62</v>
      </c>
      <c r="H363" s="37">
        <v>27</v>
      </c>
      <c r="I363" s="38">
        <v>2</v>
      </c>
      <c r="J363" s="38" t="str">
        <f t="shared" si="37"/>
        <v>13:30</v>
      </c>
      <c r="K363" s="35" t="s">
        <v>30</v>
      </c>
      <c r="L363" s="35"/>
      <c r="M363" s="39"/>
      <c r="N363" s="39"/>
      <c r="O363" s="40"/>
      <c r="P363" s="41"/>
      <c r="Q363" s="41"/>
      <c r="R363" s="42">
        <f t="shared" si="32"/>
        <v>0</v>
      </c>
      <c r="S363" s="43">
        <f t="shared" si="33"/>
        <v>67</v>
      </c>
      <c r="T363" s="43" t="str">
        <f t="shared" si="34"/>
        <v/>
      </c>
      <c r="U363" s="42" t="str">
        <f t="shared" si="35"/>
        <v/>
      </c>
      <c r="V363" s="45">
        <f>(SUM($O$2:O363)-SUM($I$2:I363))</f>
        <v>-708.74</v>
      </c>
    </row>
    <row r="364" spans="1:22" x14ac:dyDescent="0.2">
      <c r="A364" s="44">
        <v>52</v>
      </c>
      <c r="B364" s="35" t="s">
        <v>96</v>
      </c>
      <c r="C364" s="36">
        <f t="shared" si="36"/>
        <v>46451</v>
      </c>
      <c r="D364" s="35" t="s">
        <v>40</v>
      </c>
      <c r="E364" s="37">
        <v>60</v>
      </c>
      <c r="F364" s="35" t="s">
        <v>32</v>
      </c>
      <c r="G364" s="35" t="s">
        <v>63</v>
      </c>
      <c r="H364" s="37">
        <v>20</v>
      </c>
      <c r="I364" s="38"/>
      <c r="J364" s="38" t="str">
        <f t="shared" si="37"/>
        <v/>
      </c>
      <c r="K364" s="35" t="s">
        <v>58</v>
      </c>
      <c r="L364" s="35"/>
      <c r="M364" s="39"/>
      <c r="N364" s="39"/>
      <c r="O364" s="40"/>
      <c r="P364" s="41"/>
      <c r="Q364" s="41"/>
      <c r="R364" s="42">
        <f t="shared" si="32"/>
        <v>0</v>
      </c>
      <c r="S364" s="43">
        <f t="shared" si="33"/>
        <v>80</v>
      </c>
      <c r="T364" s="43" t="str">
        <f t="shared" si="34"/>
        <v/>
      </c>
      <c r="U364" s="42" t="str">
        <f t="shared" si="35"/>
        <v/>
      </c>
      <c r="V364" s="45">
        <f>(SUM($O$2:O364)-SUM($I$2:I364))</f>
        <v>-708.74</v>
      </c>
    </row>
    <row r="365" spans="1:22" x14ac:dyDescent="0.2">
      <c r="A365" s="49">
        <v>52</v>
      </c>
      <c r="B365" s="50" t="s">
        <v>96</v>
      </c>
      <c r="C365" s="51">
        <f t="shared" si="36"/>
        <v>46452</v>
      </c>
      <c r="D365" s="50" t="s">
        <v>44</v>
      </c>
      <c r="E365" s="52">
        <v>20</v>
      </c>
      <c r="F365" s="50" t="s">
        <v>45</v>
      </c>
      <c r="G365" s="50" t="s">
        <v>64</v>
      </c>
      <c r="H365" s="52">
        <v>360</v>
      </c>
      <c r="I365" s="53">
        <v>26.2</v>
      </c>
      <c r="J365" s="53" t="str">
        <f t="shared" si="37"/>
        <v>13:44</v>
      </c>
      <c r="K365" s="50" t="s">
        <v>60</v>
      </c>
      <c r="L365" s="50"/>
      <c r="M365" s="54"/>
      <c r="N365" s="54"/>
      <c r="O365" s="55"/>
      <c r="P365" s="56"/>
      <c r="Q365" s="56"/>
      <c r="R365" s="57">
        <f t="shared" si="32"/>
        <v>0</v>
      </c>
      <c r="S365" s="58">
        <f t="shared" si="33"/>
        <v>380</v>
      </c>
      <c r="T365" s="58" t="str">
        <f t="shared" si="34"/>
        <v/>
      </c>
      <c r="U365" s="57" t="str">
        <f t="shared" si="35"/>
        <v/>
      </c>
      <c r="V365" s="59">
        <f>(SUM($O$2:O365)-SUM($I$2:I365))</f>
        <v>-734.94</v>
      </c>
    </row>
    <row r="366" spans="1:22" x14ac:dyDescent="0.2">
      <c r="A366" s="49"/>
      <c r="B366" s="50"/>
      <c r="C366" s="51"/>
      <c r="D366" s="50"/>
      <c r="E366" s="52"/>
      <c r="F366" s="50"/>
      <c r="G366" s="50"/>
      <c r="H366" s="52"/>
      <c r="I366" s="53"/>
      <c r="J366" s="53"/>
      <c r="K366" s="50"/>
      <c r="L366" s="50"/>
      <c r="M366" s="54"/>
      <c r="N366" s="54"/>
      <c r="O366" s="55"/>
      <c r="P366" s="56"/>
      <c r="Q366" s="56"/>
      <c r="R366" s="57"/>
      <c r="S366" s="58"/>
      <c r="T366" s="58"/>
      <c r="U366" s="57"/>
      <c r="V366" s="59"/>
    </row>
  </sheetData>
  <conditionalFormatting sqref="A2:V2">
    <cfRule type="expression" dxfId="26" priority="1">
      <formula>L&lt;&gt;""</formula>
    </cfRule>
  </conditionalFormatting>
  <conditionalFormatting sqref="L2:L365">
    <cfRule type="expression" dxfId="25" priority="3">
      <formula>$L2="Done"</formula>
    </cfRule>
    <cfRule type="expression" dxfId="24" priority="4">
      <formula>$L2="Partial"</formula>
    </cfRule>
    <cfRule type="expression" dxfId="23" priority="5">
      <formula>$L2="Skipped"</formula>
    </cfRule>
    <cfRule type="expression" dxfId="22" priority="6">
      <formula>$L2="Rest"</formula>
    </cfRule>
  </conditionalFormatting>
  <conditionalFormatting sqref="U2:U365">
    <cfRule type="colorScale" priority="7">
      <colorScale>
        <cfvo type="num" val="-3"/>
        <cfvo type="num" val="0"/>
        <cfvo type="num" val="3"/>
        <color rgb="FFF1948A"/>
        <color rgb="FFFCF3CF"/>
        <color rgb="FF82E0AA"/>
      </colorScale>
    </cfRule>
  </conditionalFormatting>
  <conditionalFormatting sqref="V2:V365">
    <cfRule type="colorScale" priority="2">
      <colorScale>
        <cfvo type="num" val="-3"/>
        <cfvo type="num" val="0"/>
        <cfvo type="num" val="3"/>
        <color rgb="FFF1948A"/>
        <color rgb="FFFCF3CF"/>
        <color rgb="FF82E0AA"/>
      </colorScale>
    </cfRule>
  </conditionalFormatting>
  <dataValidations count="2">
    <dataValidation type="list" allowBlank="1" sqref="L2:L365" xr:uid="{00000000-0002-0000-0300-000000000000}">
      <formula1>"Done,Partial,Skipped,Rest"</formula1>
    </dataValidation>
    <dataValidation type="whole" allowBlank="1" sqref="P2:P365" xr:uid="{00000000-0002-0000-0300-000001000000}">
      <formula1>1</formula1>
      <formula2>10</formula2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3"/>
  <sheetViews>
    <sheetView workbookViewId="0">
      <pane ySplit="1" topLeftCell="A2" activePane="bottomLeft" state="frozen"/>
      <selection pane="bottomLeft" activeCell="D27" sqref="D27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4" width="13" customWidth="1"/>
    <col min="5" max="5" width="15" customWidth="1"/>
    <col min="6" max="6" width="16" customWidth="1"/>
    <col min="7" max="7" width="15" customWidth="1"/>
    <col min="8" max="8" width="13" customWidth="1"/>
    <col min="9" max="9" width="15" customWidth="1"/>
    <col min="10" max="10" width="16" customWidth="1"/>
    <col min="11" max="11" width="15" customWidth="1"/>
    <col min="12" max="12" width="13" customWidth="1"/>
    <col min="13" max="13" width="14" customWidth="1"/>
    <col min="14" max="14" width="18.5" customWidth="1"/>
    <col min="15" max="17" width="13" customWidth="1"/>
  </cols>
  <sheetData>
    <row r="1" spans="1:17" ht="28" customHeight="1" x14ac:dyDescent="0.2">
      <c r="A1" s="23" t="s">
        <v>0</v>
      </c>
      <c r="B1" s="23" t="s">
        <v>1</v>
      </c>
      <c r="C1" s="23" t="s">
        <v>205</v>
      </c>
      <c r="D1" s="23" t="s">
        <v>206</v>
      </c>
      <c r="E1" s="23" t="s">
        <v>207</v>
      </c>
      <c r="F1" s="23" t="s">
        <v>208</v>
      </c>
      <c r="G1" s="23" t="s">
        <v>209</v>
      </c>
      <c r="H1" s="23" t="s">
        <v>8</v>
      </c>
      <c r="I1" s="14" t="s">
        <v>210</v>
      </c>
      <c r="J1" s="14" t="s">
        <v>211</v>
      </c>
      <c r="K1" s="14" t="s">
        <v>212</v>
      </c>
      <c r="L1" s="14" t="s">
        <v>13</v>
      </c>
      <c r="M1" s="14" t="s">
        <v>213</v>
      </c>
      <c r="N1" s="24" t="s">
        <v>214</v>
      </c>
      <c r="O1" s="24" t="s">
        <v>215</v>
      </c>
      <c r="P1" s="24" t="s">
        <v>216</v>
      </c>
      <c r="Q1" s="24" t="s">
        <v>217</v>
      </c>
    </row>
    <row r="2" spans="1:17" ht="30" customHeight="1" x14ac:dyDescent="0.2">
      <c r="A2" s="25">
        <v>1</v>
      </c>
      <c r="B2" s="25" t="s">
        <v>21</v>
      </c>
      <c r="C2" s="26">
        <f>Controls!$B$6</f>
        <v>46089</v>
      </c>
      <c r="D2" s="26">
        <f t="shared" ref="D2:D33" si="0">C2+6</f>
        <v>46095</v>
      </c>
      <c r="E2" s="27">
        <f>SUMIF('Daily Plan'!$A$2:$A$365,$A2,'Daily Plan'!$E$2:$E$365)</f>
        <v>150</v>
      </c>
      <c r="F2" s="27">
        <f>SUMIF('Daily Plan'!$A$2:$A$365,$A2,'Daily Plan'!$H$2:$H$365)</f>
        <v>200</v>
      </c>
      <c r="G2" s="27">
        <f>SUMIF('Daily Plan'!$A$2:$A$365,$A2,'Daily Plan'!$S$2:$S$365)</f>
        <v>350</v>
      </c>
      <c r="H2" s="28">
        <f>SUMIF('Daily Plan'!$A$2:$A$365,$A2,'Daily Plan'!$I$2:$I$365)</f>
        <v>5.8</v>
      </c>
      <c r="I2" s="27">
        <f>SUMIF('Daily Plan'!$A$2:$A$365,$A2,'Daily Plan'!$M$2:$M$365)</f>
        <v>100</v>
      </c>
      <c r="J2" s="27">
        <f>SUMIF('Daily Plan'!$A$2:$A$365,$A2,'Daily Plan'!$N$2:$N$365)</f>
        <v>199</v>
      </c>
      <c r="K2" s="27">
        <f>SUMIF('Daily Plan'!$A$2:$A$365,$A2,'Daily Plan'!$T$2:$T$365)</f>
        <v>299</v>
      </c>
      <c r="L2" s="28">
        <f>SUMIF('Daily Plan'!$A$2:$A$365,$A2,'Daily Plan'!$O$2:$O$365)</f>
        <v>6.55</v>
      </c>
      <c r="M2" s="32">
        <f>SUMIF('Daily Plan'!$A$2:$A$365,$A2,'Daily Plan'!$R$2:$R$365)/7</f>
        <v>1</v>
      </c>
      <c r="N2" s="28">
        <f>SUMIFS('Daily Plan'!$I$2:$I$365,'Daily Plan'!$A$2:$A$365,$A2,'Daily Plan'!$K$2:$K$365,"Long Run")</f>
        <v>0</v>
      </c>
      <c r="O2" s="28">
        <f>SUMIF('Body Tracker'!$A$6:$A$57,$A2,'Body Tracker'!$C$6:$C$57)</f>
        <v>281.60000000000002</v>
      </c>
      <c r="P2" s="28">
        <f>SUMIF('Body Tracker'!$A$6:$A$57,$A2,'Body Tracker'!$H$6:$H$57)</f>
        <v>53.5</v>
      </c>
      <c r="Q2" s="28">
        <f>SUMIF('Body Tracker'!$A$6:$A$57,$A2,'Body Tracker'!$I$6:$I$57)</f>
        <v>51</v>
      </c>
    </row>
    <row r="3" spans="1:17" ht="22" customHeight="1" x14ac:dyDescent="0.2">
      <c r="A3" s="3">
        <v>2</v>
      </c>
      <c r="B3" s="3" t="s">
        <v>21</v>
      </c>
      <c r="C3" s="2">
        <f t="shared" ref="C3:C34" si="1">C2+7</f>
        <v>46096</v>
      </c>
      <c r="D3" s="2">
        <f t="shared" si="0"/>
        <v>46102</v>
      </c>
      <c r="E3" s="31">
        <f>SUMIF('Daily Plan'!$A$2:$A$365,$A3,'Daily Plan'!$E$2:$E$365)</f>
        <v>205</v>
      </c>
      <c r="F3" s="31">
        <f>SUMIF('Daily Plan'!$A$2:$A$365,$A3,'Daily Plan'!$H$2:$H$365)</f>
        <v>175</v>
      </c>
      <c r="G3" s="31">
        <f>SUMIF('Daily Plan'!$A$2:$A$365,$A3,'Daily Plan'!$S$2:$S$365)</f>
        <v>380</v>
      </c>
      <c r="H3" s="5">
        <f>SUMIF('Daily Plan'!$A$2:$A$365,$A3,'Daily Plan'!$I$2:$I$365)</f>
        <v>5.4</v>
      </c>
      <c r="I3" s="31">
        <f>SUMIF('Daily Plan'!$A$2:$A$365,$A3,'Daily Plan'!$M$2:$M$365)</f>
        <v>174</v>
      </c>
      <c r="J3" s="31">
        <f>SUMIF('Daily Plan'!$A$2:$A$365,$A3,'Daily Plan'!$N$2:$N$365)</f>
        <v>95</v>
      </c>
      <c r="K3" s="31">
        <f>SUMIF('Daily Plan'!$A$2:$A$365,$A3,'Daily Plan'!$T$2:$T$365)</f>
        <v>269</v>
      </c>
      <c r="L3" s="5">
        <f>SUMIF('Daily Plan'!$A$2:$A$365,$A3,'Daily Plan'!$O$2:$O$365)</f>
        <v>4.92</v>
      </c>
      <c r="M3" s="4">
        <f>SUMIF('Daily Plan'!$A$2:$A$365,$A3,'Daily Plan'!$R$2:$R$365)/7</f>
        <v>0.8571428571428571</v>
      </c>
      <c r="N3" s="5">
        <f>SUMIFS('Daily Plan'!$I$2:$I$365,'Daily Plan'!$A$2:$A$365,$A3,'Daily Plan'!$K$2:$K$365,"Long Run")</f>
        <v>0</v>
      </c>
      <c r="O3" s="5">
        <f>SUMIF('Body Tracker'!$A$6:$A$57,$A3,'Body Tracker'!$C$6:$C$57)</f>
        <v>0</v>
      </c>
      <c r="P3" s="5">
        <f>SUMIF('Body Tracker'!$A$6:$A$57,$A3,'Body Tracker'!$H$6:$H$57)</f>
        <v>0</v>
      </c>
      <c r="Q3" s="5">
        <f>SUMIF('Body Tracker'!$A$6:$A$57,$A3,'Body Tracker'!$I$6:$I$57)</f>
        <v>0</v>
      </c>
    </row>
    <row r="4" spans="1:17" x14ac:dyDescent="0.2">
      <c r="A4" s="25">
        <v>3</v>
      </c>
      <c r="B4" s="25" t="s">
        <v>21</v>
      </c>
      <c r="C4" s="26">
        <f t="shared" si="1"/>
        <v>46103</v>
      </c>
      <c r="D4" s="26">
        <f t="shared" si="0"/>
        <v>46109</v>
      </c>
      <c r="E4" s="27">
        <f>SUMIF('Daily Plan'!$A$2:$A$365,$A4,'Daily Plan'!$E$2:$E$365)</f>
        <v>165</v>
      </c>
      <c r="F4" s="27">
        <f>SUMIF('Daily Plan'!$A$2:$A$365,$A4,'Daily Plan'!$H$2:$H$365)</f>
        <v>130</v>
      </c>
      <c r="G4" s="27">
        <f>SUMIF('Daily Plan'!$A$2:$A$365,$A4,'Daily Plan'!$S$2:$S$365)</f>
        <v>295</v>
      </c>
      <c r="H4" s="28">
        <f>SUMIF('Daily Plan'!$A$2:$A$365,$A4,'Daily Plan'!$I$2:$I$365)</f>
        <v>4.7</v>
      </c>
      <c r="I4" s="27">
        <f>SUMIF('Daily Plan'!$A$2:$A$365,$A4,'Daily Plan'!$M$2:$M$365)</f>
        <v>145</v>
      </c>
      <c r="J4" s="27">
        <f>SUMIF('Daily Plan'!$A$2:$A$365,$A4,'Daily Plan'!$N$2:$N$365)</f>
        <v>155</v>
      </c>
      <c r="K4" s="27">
        <f>SUMIF('Daily Plan'!$A$2:$A$365,$A4,'Daily Plan'!$T$2:$T$365)</f>
        <v>300</v>
      </c>
      <c r="L4" s="28">
        <f>SUMIF('Daily Plan'!$A$2:$A$365,$A4,'Daily Plan'!$O$2:$O$365)</f>
        <v>6.1199999999999992</v>
      </c>
      <c r="M4" s="32">
        <f>SUMIF('Daily Plan'!$A$2:$A$365,$A4,'Daily Plan'!$R$2:$R$365)/7</f>
        <v>1</v>
      </c>
      <c r="N4" s="28">
        <f>SUMIFS('Daily Plan'!$I$2:$I$365,'Daily Plan'!$A$2:$A$365,$A4,'Daily Plan'!$K$2:$K$365,"Long Run")</f>
        <v>0</v>
      </c>
      <c r="O4" s="28">
        <f>SUMIF('Body Tracker'!$A$6:$A$57,$A4,'Body Tracker'!$C$6:$C$57)</f>
        <v>0</v>
      </c>
      <c r="P4" s="28">
        <f>SUMIF('Body Tracker'!$A$6:$A$57,$A4,'Body Tracker'!$H$6:$H$57)</f>
        <v>0</v>
      </c>
      <c r="Q4" s="28">
        <f>SUMIF('Body Tracker'!$A$6:$A$57,$A4,'Body Tracker'!$I$6:$I$57)</f>
        <v>0</v>
      </c>
    </row>
    <row r="5" spans="1:17" x14ac:dyDescent="0.2">
      <c r="A5" s="3">
        <v>4</v>
      </c>
      <c r="B5" s="3" t="s">
        <v>21</v>
      </c>
      <c r="C5" s="2">
        <f t="shared" si="1"/>
        <v>46110</v>
      </c>
      <c r="D5" s="2">
        <f t="shared" si="0"/>
        <v>46116</v>
      </c>
      <c r="E5" s="31">
        <f>SUMIF('Daily Plan'!$A$2:$A$365,$A5,'Daily Plan'!$E$2:$E$365)</f>
        <v>150</v>
      </c>
      <c r="F5" s="31">
        <f>SUMIF('Daily Plan'!$A$2:$A$365,$A5,'Daily Plan'!$H$2:$H$365)</f>
        <v>125</v>
      </c>
      <c r="G5" s="31">
        <f>SUMIF('Daily Plan'!$A$2:$A$365,$A5,'Daily Plan'!$S$2:$S$365)</f>
        <v>275</v>
      </c>
      <c r="H5" s="5">
        <f>SUMIF('Daily Plan'!$A$2:$A$365,$A5,'Daily Plan'!$I$2:$I$365)</f>
        <v>5.3000000000000007</v>
      </c>
      <c r="I5" s="31">
        <f>SUMIF('Daily Plan'!$A$2:$A$365,$A5,'Daily Plan'!$M$2:$M$365)</f>
        <v>145</v>
      </c>
      <c r="J5" s="31">
        <f>SUMIF('Daily Plan'!$A$2:$A$365,$A5,'Daily Plan'!$N$2:$N$365)</f>
        <v>115</v>
      </c>
      <c r="K5" s="31">
        <f>SUMIF('Daily Plan'!$A$2:$A$365,$A5,'Daily Plan'!$T$2:$T$365)</f>
        <v>260</v>
      </c>
      <c r="L5" s="5">
        <f>SUMIF('Daily Plan'!$A$2:$A$365,$A5,'Daily Plan'!$O$2:$O$365)</f>
        <v>5.5</v>
      </c>
      <c r="M5" s="4">
        <f>SUMIF('Daily Plan'!$A$2:$A$365,$A5,'Daily Plan'!$R$2:$R$365)/7</f>
        <v>1</v>
      </c>
      <c r="N5" s="5">
        <f>SUMIFS('Daily Plan'!$I$2:$I$365,'Daily Plan'!$A$2:$A$365,$A5,'Daily Plan'!$K$2:$K$365,"Long Run")</f>
        <v>0</v>
      </c>
      <c r="O5" s="5">
        <f>SUMIF('Body Tracker'!$A$6:$A$57,$A5,'Body Tracker'!$C$6:$C$57)</f>
        <v>279.8</v>
      </c>
      <c r="P5" s="5">
        <f>SUMIF('Body Tracker'!$A$6:$A$57,$A5,'Body Tracker'!$H$6:$H$57)</f>
        <v>52.5</v>
      </c>
      <c r="Q5" s="5">
        <f>SUMIF('Body Tracker'!$A$6:$A$57,$A5,'Body Tracker'!$I$6:$I$57)</f>
        <v>51</v>
      </c>
    </row>
    <row r="6" spans="1:17" x14ac:dyDescent="0.2">
      <c r="A6" s="25">
        <v>5</v>
      </c>
      <c r="B6" s="25" t="s">
        <v>21</v>
      </c>
      <c r="C6" s="26">
        <f t="shared" si="1"/>
        <v>46117</v>
      </c>
      <c r="D6" s="26">
        <f t="shared" si="0"/>
        <v>46123</v>
      </c>
      <c r="E6" s="27">
        <f>SUMIF('Daily Plan'!$A$2:$A$365,$A6,'Daily Plan'!$E$2:$E$365)</f>
        <v>195</v>
      </c>
      <c r="F6" s="27">
        <f>SUMIF('Daily Plan'!$A$2:$A$365,$A6,'Daily Plan'!$H$2:$H$365)</f>
        <v>210</v>
      </c>
      <c r="G6" s="27">
        <f>SUMIF('Daily Plan'!$A$2:$A$365,$A6,'Daily Plan'!$S$2:$S$365)</f>
        <v>405</v>
      </c>
      <c r="H6" s="28">
        <f>SUMIF('Daily Plan'!$A$2:$A$365,$A6,'Daily Plan'!$I$2:$I$365)</f>
        <v>7.8</v>
      </c>
      <c r="I6" s="27">
        <f>SUMIF('Daily Plan'!$A$2:$A$365,$A6,'Daily Plan'!$M$2:$M$365)</f>
        <v>40</v>
      </c>
      <c r="J6" s="27">
        <f>SUMIF('Daily Plan'!$A$2:$A$365,$A6,'Daily Plan'!$N$2:$N$365)</f>
        <v>80</v>
      </c>
      <c r="K6" s="27">
        <f>SUMIF('Daily Plan'!$A$2:$A$365,$A6,'Daily Plan'!$T$2:$T$365)</f>
        <v>120</v>
      </c>
      <c r="L6" s="28">
        <f>SUMIF('Daily Plan'!$A$2:$A$365,$A6,'Daily Plan'!$O$2:$O$365)</f>
        <v>4.4000000000000004</v>
      </c>
      <c r="M6" s="32">
        <f>SUMIF('Daily Plan'!$A$2:$A$365,$A6,'Daily Plan'!$R$2:$R$365)/7</f>
        <v>0.42857142857142855</v>
      </c>
      <c r="N6" s="28">
        <f>SUMIFS('Daily Plan'!$I$2:$I$365,'Daily Plan'!$A$2:$A$365,$A6,'Daily Plan'!$K$2:$K$365,"Long Run")</f>
        <v>0</v>
      </c>
      <c r="O6" s="28">
        <f>SUMIF('Body Tracker'!$A$6:$A$57,$A6,'Body Tracker'!$C$6:$C$57)</f>
        <v>0</v>
      </c>
      <c r="P6" s="28">
        <f>SUMIF('Body Tracker'!$A$6:$A$57,$A6,'Body Tracker'!$H$6:$H$57)</f>
        <v>0</v>
      </c>
      <c r="Q6" s="28">
        <f>SUMIF('Body Tracker'!$A$6:$A$57,$A6,'Body Tracker'!$I$6:$I$57)</f>
        <v>0</v>
      </c>
    </row>
    <row r="7" spans="1:17" x14ac:dyDescent="0.2">
      <c r="A7" s="3">
        <v>6</v>
      </c>
      <c r="B7" s="3" t="s">
        <v>21</v>
      </c>
      <c r="C7" s="2">
        <f t="shared" si="1"/>
        <v>46124</v>
      </c>
      <c r="D7" s="2">
        <f t="shared" si="0"/>
        <v>46130</v>
      </c>
      <c r="E7" s="31">
        <f>SUMIF('Daily Plan'!$A$2:$A$365,$A7,'Daily Plan'!$E$2:$E$365)</f>
        <v>220</v>
      </c>
      <c r="F7" s="31">
        <f>SUMIF('Daily Plan'!$A$2:$A$365,$A7,'Daily Plan'!$H$2:$H$365)</f>
        <v>175</v>
      </c>
      <c r="G7" s="31">
        <f>SUMIF('Daily Plan'!$A$2:$A$365,$A7,'Daily Plan'!$S$2:$S$365)</f>
        <v>395</v>
      </c>
      <c r="H7" s="5">
        <f>SUMIF('Daily Plan'!$A$2:$A$365,$A7,'Daily Plan'!$I$2:$I$365)</f>
        <v>6.8</v>
      </c>
      <c r="I7" s="31">
        <f>SUMIF('Daily Plan'!$A$2:$A$365,$A7,'Daily Plan'!$M$2:$M$365)</f>
        <v>155</v>
      </c>
      <c r="J7" s="31">
        <f>SUMIF('Daily Plan'!$A$2:$A$365,$A7,'Daily Plan'!$N$2:$N$365)</f>
        <v>150</v>
      </c>
      <c r="K7" s="31">
        <f>SUMIF('Daily Plan'!$A$2:$A$365,$A7,'Daily Plan'!$T$2:$T$365)</f>
        <v>305</v>
      </c>
      <c r="L7" s="5">
        <f>SUMIF('Daily Plan'!$A$2:$A$365,$A7,'Daily Plan'!$O$2:$O$365)</f>
        <v>8.370000000000001</v>
      </c>
      <c r="M7" s="4">
        <f>SUMIF('Daily Plan'!$A$2:$A$365,$A7,'Daily Plan'!$R$2:$R$365)/7</f>
        <v>0.8571428571428571</v>
      </c>
      <c r="N7" s="5">
        <f>SUMIFS('Daily Plan'!$I$2:$I$365,'Daily Plan'!$A$2:$A$365,$A7,'Daily Plan'!$K$2:$K$365,"Long Run")</f>
        <v>0</v>
      </c>
      <c r="O7" s="5">
        <f>SUMIF('Body Tracker'!$A$6:$A$57,$A7,'Body Tracker'!$C$6:$C$57)</f>
        <v>0</v>
      </c>
      <c r="P7" s="5">
        <f>SUMIF('Body Tracker'!$A$6:$A$57,$A7,'Body Tracker'!$H$6:$H$57)</f>
        <v>0</v>
      </c>
      <c r="Q7" s="5">
        <f>SUMIF('Body Tracker'!$A$6:$A$57,$A7,'Body Tracker'!$I$6:$I$57)</f>
        <v>0</v>
      </c>
    </row>
    <row r="8" spans="1:17" x14ac:dyDescent="0.2">
      <c r="A8" s="25">
        <v>7</v>
      </c>
      <c r="B8" s="25" t="s">
        <v>21</v>
      </c>
      <c r="C8" s="26">
        <f t="shared" si="1"/>
        <v>46131</v>
      </c>
      <c r="D8" s="26">
        <f t="shared" si="0"/>
        <v>46137</v>
      </c>
      <c r="E8" s="27">
        <f>SUMIF('Daily Plan'!$A$2:$A$365,$A8,'Daily Plan'!$E$2:$E$365)</f>
        <v>215</v>
      </c>
      <c r="F8" s="27">
        <f>SUMIF('Daily Plan'!$A$2:$A$365,$A8,'Daily Plan'!$H$2:$H$365)</f>
        <v>195</v>
      </c>
      <c r="G8" s="27">
        <f>SUMIF('Daily Plan'!$A$2:$A$365,$A8,'Daily Plan'!$S$2:$S$365)</f>
        <v>410</v>
      </c>
      <c r="H8" s="28">
        <f>SUMIF('Daily Plan'!$A$2:$A$365,$A8,'Daily Plan'!$I$2:$I$365)</f>
        <v>7.9</v>
      </c>
      <c r="I8" s="27">
        <f>SUMIF('Daily Plan'!$A$2:$A$365,$A8,'Daily Plan'!$M$2:$M$365)</f>
        <v>95</v>
      </c>
      <c r="J8" s="27">
        <f>SUMIF('Daily Plan'!$A$2:$A$365,$A8,'Daily Plan'!$N$2:$N$365)</f>
        <v>145</v>
      </c>
      <c r="K8" s="27">
        <f>SUMIF('Daily Plan'!$A$2:$A$365,$A8,'Daily Plan'!$T$2:$T$365)</f>
        <v>240</v>
      </c>
      <c r="L8" s="28">
        <f>SUMIF('Daily Plan'!$A$2:$A$365,$A8,'Daily Plan'!$O$2:$O$365)</f>
        <v>8.6999999999999993</v>
      </c>
      <c r="M8" s="32">
        <f>SUMIF('Daily Plan'!$A$2:$A$365,$A8,'Daily Plan'!$R$2:$R$365)/7</f>
        <v>0.8571428571428571</v>
      </c>
      <c r="N8" s="28">
        <f>SUMIFS('Daily Plan'!$I$2:$I$365,'Daily Plan'!$A$2:$A$365,$A8,'Daily Plan'!$K$2:$K$365,"Long Run")</f>
        <v>0</v>
      </c>
      <c r="O8" s="28">
        <f>SUMIF('Body Tracker'!$A$6:$A$57,$A8,'Body Tracker'!$C$6:$C$57)</f>
        <v>0</v>
      </c>
      <c r="P8" s="28">
        <f>SUMIF('Body Tracker'!$A$6:$A$57,$A8,'Body Tracker'!$H$6:$H$57)</f>
        <v>0</v>
      </c>
      <c r="Q8" s="28">
        <f>SUMIF('Body Tracker'!$A$6:$A$57,$A8,'Body Tracker'!$I$6:$I$57)</f>
        <v>0</v>
      </c>
    </row>
    <row r="9" spans="1:17" x14ac:dyDescent="0.2">
      <c r="A9" s="3">
        <v>8</v>
      </c>
      <c r="B9" s="3" t="s">
        <v>21</v>
      </c>
      <c r="C9" s="2">
        <f t="shared" si="1"/>
        <v>46138</v>
      </c>
      <c r="D9" s="2">
        <f t="shared" si="0"/>
        <v>46144</v>
      </c>
      <c r="E9" s="31">
        <f>SUMIF('Daily Plan'!$A$2:$A$365,$A9,'Daily Plan'!$E$2:$E$365)</f>
        <v>250</v>
      </c>
      <c r="F9" s="31">
        <f>SUMIF('Daily Plan'!$A$2:$A$365,$A9,'Daily Plan'!$H$2:$H$365)</f>
        <v>220</v>
      </c>
      <c r="G9" s="31">
        <f>SUMIF('Daily Plan'!$A$2:$A$365,$A9,'Daily Plan'!$S$2:$S$365)</f>
        <v>470</v>
      </c>
      <c r="H9" s="5">
        <f>SUMIF('Daily Plan'!$A$2:$A$365,$A9,'Daily Plan'!$I$2:$I$365)</f>
        <v>7.7</v>
      </c>
      <c r="I9" s="31">
        <f>SUMIF('Daily Plan'!$A$2:$A$365,$A9,'Daily Plan'!$M$2:$M$365)</f>
        <v>0</v>
      </c>
      <c r="J9" s="31">
        <f>SUMIF('Daily Plan'!$A$2:$A$365,$A9,'Daily Plan'!$N$2:$N$365)</f>
        <v>0</v>
      </c>
      <c r="K9" s="31">
        <f>SUMIF('Daily Plan'!$A$2:$A$365,$A9,'Daily Plan'!$T$2:$T$365)</f>
        <v>0</v>
      </c>
      <c r="L9" s="5">
        <f>SUMIF('Daily Plan'!$A$2:$A$365,$A9,'Daily Plan'!$O$2:$O$365)</f>
        <v>0</v>
      </c>
      <c r="M9" s="4">
        <f>SUMIF('Daily Plan'!$A$2:$A$365,$A9,'Daily Plan'!$R$2:$R$365)/7</f>
        <v>0.14285714285714285</v>
      </c>
      <c r="N9" s="5">
        <f>SUMIFS('Daily Plan'!$I$2:$I$365,'Daily Plan'!$A$2:$A$365,$A9,'Daily Plan'!$K$2:$K$365,"Long Run")</f>
        <v>0</v>
      </c>
      <c r="O9" s="5">
        <f>SUMIF('Body Tracker'!$A$6:$A$57,$A9,'Body Tracker'!$C$6:$C$57)</f>
        <v>0</v>
      </c>
      <c r="P9" s="5">
        <f>SUMIF('Body Tracker'!$A$6:$A$57,$A9,'Body Tracker'!$H$6:$H$57)</f>
        <v>0</v>
      </c>
      <c r="Q9" s="5">
        <f>SUMIF('Body Tracker'!$A$6:$A$57,$A9,'Body Tracker'!$I$6:$I$57)</f>
        <v>0</v>
      </c>
    </row>
    <row r="10" spans="1:17" x14ac:dyDescent="0.2">
      <c r="A10" s="25">
        <v>9</v>
      </c>
      <c r="B10" s="25" t="s">
        <v>77</v>
      </c>
      <c r="C10" s="26">
        <f t="shared" si="1"/>
        <v>46145</v>
      </c>
      <c r="D10" s="26">
        <f t="shared" si="0"/>
        <v>46151</v>
      </c>
      <c r="E10" s="27">
        <f>SUMIF('Daily Plan'!$A$2:$A$365,$A10,'Daily Plan'!$E$2:$E$365)</f>
        <v>265</v>
      </c>
      <c r="F10" s="27">
        <f>SUMIF('Daily Plan'!$A$2:$A$365,$A10,'Daily Plan'!$H$2:$H$365)</f>
        <v>210</v>
      </c>
      <c r="G10" s="27">
        <f>SUMIF('Daily Plan'!$A$2:$A$365,$A10,'Daily Plan'!$S$2:$S$365)</f>
        <v>475</v>
      </c>
      <c r="H10" s="28">
        <f>SUMIF('Daily Plan'!$A$2:$A$365,$A10,'Daily Plan'!$I$2:$I$365)</f>
        <v>7.8000000000000007</v>
      </c>
      <c r="I10" s="27">
        <f>SUMIF('Daily Plan'!$A$2:$A$365,$A10,'Daily Plan'!$M$2:$M$365)</f>
        <v>0</v>
      </c>
      <c r="J10" s="27">
        <f>SUMIF('Daily Plan'!$A$2:$A$365,$A10,'Daily Plan'!$N$2:$N$365)</f>
        <v>0</v>
      </c>
      <c r="K10" s="27">
        <f>SUMIF('Daily Plan'!$A$2:$A$365,$A10,'Daily Plan'!$T$2:$T$365)</f>
        <v>0</v>
      </c>
      <c r="L10" s="28">
        <f>SUMIF('Daily Plan'!$A$2:$A$365,$A10,'Daily Plan'!$O$2:$O$365)</f>
        <v>0</v>
      </c>
      <c r="M10" s="32">
        <f>SUMIF('Daily Plan'!$A$2:$A$365,$A10,'Daily Plan'!$R$2:$R$365)/7</f>
        <v>0.14285714285714285</v>
      </c>
      <c r="N10" s="28">
        <f>SUMIFS('Daily Plan'!$I$2:$I$365,'Daily Plan'!$A$2:$A$365,$A10,'Daily Plan'!$K$2:$K$365,"Long Run")</f>
        <v>0</v>
      </c>
      <c r="O10" s="28">
        <f>SUMIF('Body Tracker'!$A$6:$A$57,$A10,'Body Tracker'!$C$6:$C$57)</f>
        <v>0</v>
      </c>
      <c r="P10" s="28">
        <f>SUMIF('Body Tracker'!$A$6:$A$57,$A10,'Body Tracker'!$H$6:$H$57)</f>
        <v>0</v>
      </c>
      <c r="Q10" s="28">
        <f>SUMIF('Body Tracker'!$A$6:$A$57,$A10,'Body Tracker'!$I$6:$I$57)</f>
        <v>0</v>
      </c>
    </row>
    <row r="11" spans="1:17" x14ac:dyDescent="0.2">
      <c r="A11" s="3">
        <v>10</v>
      </c>
      <c r="B11" s="3" t="s">
        <v>77</v>
      </c>
      <c r="C11" s="2">
        <f t="shared" si="1"/>
        <v>46152</v>
      </c>
      <c r="D11" s="2">
        <f t="shared" si="0"/>
        <v>46158</v>
      </c>
      <c r="E11" s="31">
        <f>SUMIF('Daily Plan'!$A$2:$A$365,$A11,'Daily Plan'!$E$2:$E$365)</f>
        <v>220</v>
      </c>
      <c r="F11" s="31">
        <f>SUMIF('Daily Plan'!$A$2:$A$365,$A11,'Daily Plan'!$H$2:$H$365)</f>
        <v>217</v>
      </c>
      <c r="G11" s="31">
        <f>SUMIF('Daily Plan'!$A$2:$A$365,$A11,'Daily Plan'!$S$2:$S$365)</f>
        <v>437</v>
      </c>
      <c r="H11" s="5">
        <f>SUMIF('Daily Plan'!$A$2:$A$365,$A11,'Daily Plan'!$I$2:$I$365)</f>
        <v>10.199999999999999</v>
      </c>
      <c r="I11" s="31">
        <f>SUMIF('Daily Plan'!$A$2:$A$365,$A11,'Daily Plan'!$M$2:$M$365)</f>
        <v>0</v>
      </c>
      <c r="J11" s="31">
        <f>SUMIF('Daily Plan'!$A$2:$A$365,$A11,'Daily Plan'!$N$2:$N$365)</f>
        <v>0</v>
      </c>
      <c r="K11" s="31">
        <f>SUMIF('Daily Plan'!$A$2:$A$365,$A11,'Daily Plan'!$T$2:$T$365)</f>
        <v>0</v>
      </c>
      <c r="L11" s="5">
        <f>SUMIF('Daily Plan'!$A$2:$A$365,$A11,'Daily Plan'!$O$2:$O$365)</f>
        <v>0</v>
      </c>
      <c r="M11" s="4">
        <f>SUMIF('Daily Plan'!$A$2:$A$365,$A11,'Daily Plan'!$R$2:$R$365)/7</f>
        <v>0.14285714285714285</v>
      </c>
      <c r="N11" s="5">
        <f>SUMIFS('Daily Plan'!$I$2:$I$365,'Daily Plan'!$A$2:$A$365,$A11,'Daily Plan'!$K$2:$K$365,"Long Run")</f>
        <v>0</v>
      </c>
      <c r="O11" s="5">
        <f>SUMIF('Body Tracker'!$A$6:$A$57,$A11,'Body Tracker'!$C$6:$C$57)</f>
        <v>0</v>
      </c>
      <c r="P11" s="5">
        <f>SUMIF('Body Tracker'!$A$6:$A$57,$A11,'Body Tracker'!$H$6:$H$57)</f>
        <v>0</v>
      </c>
      <c r="Q11" s="5">
        <f>SUMIF('Body Tracker'!$A$6:$A$57,$A11,'Body Tracker'!$I$6:$I$57)</f>
        <v>0</v>
      </c>
    </row>
    <row r="12" spans="1:17" x14ac:dyDescent="0.2">
      <c r="A12" s="25">
        <v>11</v>
      </c>
      <c r="B12" s="25" t="s">
        <v>77</v>
      </c>
      <c r="C12" s="26">
        <f t="shared" si="1"/>
        <v>46159</v>
      </c>
      <c r="D12" s="26">
        <f t="shared" si="0"/>
        <v>46165</v>
      </c>
      <c r="E12" s="27">
        <f>SUMIF('Daily Plan'!$A$2:$A$365,$A12,'Daily Plan'!$E$2:$E$365)</f>
        <v>235</v>
      </c>
      <c r="F12" s="27">
        <f>SUMIF('Daily Plan'!$A$2:$A$365,$A12,'Daily Plan'!$H$2:$H$365)</f>
        <v>219</v>
      </c>
      <c r="G12" s="27">
        <f>SUMIF('Daily Plan'!$A$2:$A$365,$A12,'Daily Plan'!$S$2:$S$365)</f>
        <v>454</v>
      </c>
      <c r="H12" s="28">
        <f>SUMIF('Daily Plan'!$A$2:$A$365,$A12,'Daily Plan'!$I$2:$I$365)</f>
        <v>10.5</v>
      </c>
      <c r="I12" s="27">
        <f>SUMIF('Daily Plan'!$A$2:$A$365,$A12,'Daily Plan'!$M$2:$M$365)</f>
        <v>0</v>
      </c>
      <c r="J12" s="27">
        <f>SUMIF('Daily Plan'!$A$2:$A$365,$A12,'Daily Plan'!$N$2:$N$365)</f>
        <v>0</v>
      </c>
      <c r="K12" s="27">
        <f>SUMIF('Daily Plan'!$A$2:$A$365,$A12,'Daily Plan'!$T$2:$T$365)</f>
        <v>0</v>
      </c>
      <c r="L12" s="28">
        <f>SUMIF('Daily Plan'!$A$2:$A$365,$A12,'Daily Plan'!$O$2:$O$365)</f>
        <v>0</v>
      </c>
      <c r="M12" s="32">
        <f>SUMIF('Daily Plan'!$A$2:$A$365,$A12,'Daily Plan'!$R$2:$R$365)/7</f>
        <v>0.14285714285714285</v>
      </c>
      <c r="N12" s="28">
        <f>SUMIFS('Daily Plan'!$I$2:$I$365,'Daily Plan'!$A$2:$A$365,$A12,'Daily Plan'!$K$2:$K$365,"Long Run")</f>
        <v>0</v>
      </c>
      <c r="O12" s="28">
        <f>SUMIF('Body Tracker'!$A$6:$A$57,$A12,'Body Tracker'!$C$6:$C$57)</f>
        <v>0</v>
      </c>
      <c r="P12" s="28">
        <f>SUMIF('Body Tracker'!$A$6:$A$57,$A12,'Body Tracker'!$H$6:$H$57)</f>
        <v>0</v>
      </c>
      <c r="Q12" s="28">
        <f>SUMIF('Body Tracker'!$A$6:$A$57,$A12,'Body Tracker'!$I$6:$I$57)</f>
        <v>0</v>
      </c>
    </row>
    <row r="13" spans="1:17" x14ac:dyDescent="0.2">
      <c r="A13" s="3">
        <v>12</v>
      </c>
      <c r="B13" s="3" t="s">
        <v>77</v>
      </c>
      <c r="C13" s="2">
        <f t="shared" si="1"/>
        <v>46166</v>
      </c>
      <c r="D13" s="2">
        <f t="shared" si="0"/>
        <v>46172</v>
      </c>
      <c r="E13" s="31">
        <f>SUMIF('Daily Plan'!$A$2:$A$365,$A13,'Daily Plan'!$E$2:$E$365)</f>
        <v>250</v>
      </c>
      <c r="F13" s="31">
        <f>SUMIF('Daily Plan'!$A$2:$A$365,$A13,'Daily Plan'!$H$2:$H$365)</f>
        <v>226</v>
      </c>
      <c r="G13" s="31">
        <f>SUMIF('Daily Plan'!$A$2:$A$365,$A13,'Daily Plan'!$S$2:$S$365)</f>
        <v>476</v>
      </c>
      <c r="H13" s="5">
        <f>SUMIF('Daily Plan'!$A$2:$A$365,$A13,'Daily Plan'!$I$2:$I$365)</f>
        <v>9.1999999999999993</v>
      </c>
      <c r="I13" s="31">
        <f>SUMIF('Daily Plan'!$A$2:$A$365,$A13,'Daily Plan'!$M$2:$M$365)</f>
        <v>0</v>
      </c>
      <c r="J13" s="31">
        <f>SUMIF('Daily Plan'!$A$2:$A$365,$A13,'Daily Plan'!$N$2:$N$365)</f>
        <v>0</v>
      </c>
      <c r="K13" s="31">
        <f>SUMIF('Daily Plan'!$A$2:$A$365,$A13,'Daily Plan'!$T$2:$T$365)</f>
        <v>0</v>
      </c>
      <c r="L13" s="5">
        <f>SUMIF('Daily Plan'!$A$2:$A$365,$A13,'Daily Plan'!$O$2:$O$365)</f>
        <v>0</v>
      </c>
      <c r="M13" s="4">
        <f>SUMIF('Daily Plan'!$A$2:$A$365,$A13,'Daily Plan'!$R$2:$R$365)/7</f>
        <v>0.14285714285714285</v>
      </c>
      <c r="N13" s="5">
        <f>SUMIFS('Daily Plan'!$I$2:$I$365,'Daily Plan'!$A$2:$A$365,$A13,'Daily Plan'!$K$2:$K$365,"Long Run")</f>
        <v>0</v>
      </c>
      <c r="O13" s="5">
        <f>SUMIF('Body Tracker'!$A$6:$A$57,$A13,'Body Tracker'!$C$6:$C$57)</f>
        <v>0</v>
      </c>
      <c r="P13" s="5">
        <f>SUMIF('Body Tracker'!$A$6:$A$57,$A13,'Body Tracker'!$H$6:$H$57)</f>
        <v>0</v>
      </c>
      <c r="Q13" s="5">
        <f>SUMIF('Body Tracker'!$A$6:$A$57,$A13,'Body Tracker'!$I$6:$I$57)</f>
        <v>0</v>
      </c>
    </row>
    <row r="14" spans="1:17" x14ac:dyDescent="0.2">
      <c r="A14" s="25">
        <v>13</v>
      </c>
      <c r="B14" s="25" t="s">
        <v>82</v>
      </c>
      <c r="C14" s="26">
        <f t="shared" si="1"/>
        <v>46173</v>
      </c>
      <c r="D14" s="26">
        <f t="shared" si="0"/>
        <v>46179</v>
      </c>
      <c r="E14" s="27">
        <f>SUMIF('Daily Plan'!$A$2:$A$365,$A14,'Daily Plan'!$E$2:$E$365)</f>
        <v>265</v>
      </c>
      <c r="F14" s="27">
        <f>SUMIF('Daily Plan'!$A$2:$A$365,$A14,'Daily Plan'!$H$2:$H$365)</f>
        <v>189</v>
      </c>
      <c r="G14" s="27">
        <f>SUMIF('Daily Plan'!$A$2:$A$365,$A14,'Daily Plan'!$S$2:$S$365)</f>
        <v>454</v>
      </c>
      <c r="H14" s="28">
        <f>SUMIF('Daily Plan'!$A$2:$A$365,$A14,'Daily Plan'!$I$2:$I$365)</f>
        <v>7.2</v>
      </c>
      <c r="I14" s="27">
        <f>SUMIF('Daily Plan'!$A$2:$A$365,$A14,'Daily Plan'!$M$2:$M$365)</f>
        <v>0</v>
      </c>
      <c r="J14" s="27">
        <f>SUMIF('Daily Plan'!$A$2:$A$365,$A14,'Daily Plan'!$N$2:$N$365)</f>
        <v>0</v>
      </c>
      <c r="K14" s="27">
        <f>SUMIF('Daily Plan'!$A$2:$A$365,$A14,'Daily Plan'!$T$2:$T$365)</f>
        <v>0</v>
      </c>
      <c r="L14" s="28">
        <f>SUMIF('Daily Plan'!$A$2:$A$365,$A14,'Daily Plan'!$O$2:$O$365)</f>
        <v>0</v>
      </c>
      <c r="M14" s="32">
        <f>SUMIF('Daily Plan'!$A$2:$A$365,$A14,'Daily Plan'!$R$2:$R$365)/7</f>
        <v>0.14285714285714285</v>
      </c>
      <c r="N14" s="28">
        <f>SUMIFS('Daily Plan'!$I$2:$I$365,'Daily Plan'!$A$2:$A$365,$A14,'Daily Plan'!$K$2:$K$365,"Long Run")</f>
        <v>0</v>
      </c>
      <c r="O14" s="28">
        <f>SUMIF('Body Tracker'!$A$6:$A$57,$A14,'Body Tracker'!$C$6:$C$57)</f>
        <v>0</v>
      </c>
      <c r="P14" s="28">
        <f>SUMIF('Body Tracker'!$A$6:$A$57,$A14,'Body Tracker'!$H$6:$H$57)</f>
        <v>0</v>
      </c>
      <c r="Q14" s="28">
        <f>SUMIF('Body Tracker'!$A$6:$A$57,$A14,'Body Tracker'!$I$6:$I$57)</f>
        <v>0</v>
      </c>
    </row>
    <row r="15" spans="1:17" x14ac:dyDescent="0.2">
      <c r="A15" s="3">
        <v>14</v>
      </c>
      <c r="B15" s="3" t="s">
        <v>82</v>
      </c>
      <c r="C15" s="2">
        <f t="shared" si="1"/>
        <v>46180</v>
      </c>
      <c r="D15" s="2">
        <f t="shared" si="0"/>
        <v>46186</v>
      </c>
      <c r="E15" s="31">
        <f>SUMIF('Daily Plan'!$A$2:$A$365,$A15,'Daily Plan'!$E$2:$E$365)</f>
        <v>220</v>
      </c>
      <c r="F15" s="31">
        <f>SUMIF('Daily Plan'!$A$2:$A$365,$A15,'Daily Plan'!$H$2:$H$365)</f>
        <v>196</v>
      </c>
      <c r="G15" s="31">
        <f>SUMIF('Daily Plan'!$A$2:$A$365,$A15,'Daily Plan'!$S$2:$S$365)</f>
        <v>416</v>
      </c>
      <c r="H15" s="5">
        <f>SUMIF('Daily Plan'!$A$2:$A$365,$A15,'Daily Plan'!$I$2:$I$365)</f>
        <v>9.7999999999999989</v>
      </c>
      <c r="I15" s="31">
        <f>SUMIF('Daily Plan'!$A$2:$A$365,$A15,'Daily Plan'!$M$2:$M$365)</f>
        <v>0</v>
      </c>
      <c r="J15" s="31">
        <f>SUMIF('Daily Plan'!$A$2:$A$365,$A15,'Daily Plan'!$N$2:$N$365)</f>
        <v>0</v>
      </c>
      <c r="K15" s="31">
        <f>SUMIF('Daily Plan'!$A$2:$A$365,$A15,'Daily Plan'!$T$2:$T$365)</f>
        <v>0</v>
      </c>
      <c r="L15" s="5">
        <f>SUMIF('Daily Plan'!$A$2:$A$365,$A15,'Daily Plan'!$O$2:$O$365)</f>
        <v>0</v>
      </c>
      <c r="M15" s="4">
        <f>SUMIF('Daily Plan'!$A$2:$A$365,$A15,'Daily Plan'!$R$2:$R$365)/7</f>
        <v>0.14285714285714285</v>
      </c>
      <c r="N15" s="5">
        <f>SUMIFS('Daily Plan'!$I$2:$I$365,'Daily Plan'!$A$2:$A$365,$A15,'Daily Plan'!$K$2:$K$365,"Long Run")</f>
        <v>0</v>
      </c>
      <c r="O15" s="5">
        <f>SUMIF('Body Tracker'!$A$6:$A$57,$A15,'Body Tracker'!$C$6:$C$57)</f>
        <v>0</v>
      </c>
      <c r="P15" s="5">
        <f>SUMIF('Body Tracker'!$A$6:$A$57,$A15,'Body Tracker'!$H$6:$H$57)</f>
        <v>0</v>
      </c>
      <c r="Q15" s="5">
        <f>SUMIF('Body Tracker'!$A$6:$A$57,$A15,'Body Tracker'!$I$6:$I$57)</f>
        <v>0</v>
      </c>
    </row>
    <row r="16" spans="1:17" x14ac:dyDescent="0.2">
      <c r="A16" s="25">
        <v>15</v>
      </c>
      <c r="B16" s="25" t="s">
        <v>82</v>
      </c>
      <c r="C16" s="26">
        <f t="shared" si="1"/>
        <v>46187</v>
      </c>
      <c r="D16" s="26">
        <f t="shared" si="0"/>
        <v>46193</v>
      </c>
      <c r="E16" s="27">
        <f>SUMIF('Daily Plan'!$A$2:$A$365,$A16,'Daily Plan'!$E$2:$E$365)</f>
        <v>235</v>
      </c>
      <c r="F16" s="27">
        <f>SUMIF('Daily Plan'!$A$2:$A$365,$A16,'Daily Plan'!$H$2:$H$365)</f>
        <v>200</v>
      </c>
      <c r="G16" s="27">
        <f>SUMIF('Daily Plan'!$A$2:$A$365,$A16,'Daily Plan'!$S$2:$S$365)</f>
        <v>435</v>
      </c>
      <c r="H16" s="28">
        <f>SUMIF('Daily Plan'!$A$2:$A$365,$A16,'Daily Plan'!$I$2:$I$365)</f>
        <v>10.299999999999999</v>
      </c>
      <c r="I16" s="27">
        <f>SUMIF('Daily Plan'!$A$2:$A$365,$A16,'Daily Plan'!$M$2:$M$365)</f>
        <v>0</v>
      </c>
      <c r="J16" s="27">
        <f>SUMIF('Daily Plan'!$A$2:$A$365,$A16,'Daily Plan'!$N$2:$N$365)</f>
        <v>0</v>
      </c>
      <c r="K16" s="27">
        <f>SUMIF('Daily Plan'!$A$2:$A$365,$A16,'Daily Plan'!$T$2:$T$365)</f>
        <v>0</v>
      </c>
      <c r="L16" s="28">
        <f>SUMIF('Daily Plan'!$A$2:$A$365,$A16,'Daily Plan'!$O$2:$O$365)</f>
        <v>0</v>
      </c>
      <c r="M16" s="32">
        <f>SUMIF('Daily Plan'!$A$2:$A$365,$A16,'Daily Plan'!$R$2:$R$365)/7</f>
        <v>0.14285714285714285</v>
      </c>
      <c r="N16" s="28">
        <f>SUMIFS('Daily Plan'!$I$2:$I$365,'Daily Plan'!$A$2:$A$365,$A16,'Daily Plan'!$K$2:$K$365,"Long Run")</f>
        <v>0</v>
      </c>
      <c r="O16" s="28">
        <f>SUMIF('Body Tracker'!$A$6:$A$57,$A16,'Body Tracker'!$C$6:$C$57)</f>
        <v>0</v>
      </c>
      <c r="P16" s="28">
        <f>SUMIF('Body Tracker'!$A$6:$A$57,$A16,'Body Tracker'!$H$6:$H$57)</f>
        <v>0</v>
      </c>
      <c r="Q16" s="28">
        <f>SUMIF('Body Tracker'!$A$6:$A$57,$A16,'Body Tracker'!$I$6:$I$57)</f>
        <v>0</v>
      </c>
    </row>
    <row r="17" spans="1:17" x14ac:dyDescent="0.2">
      <c r="A17" s="3">
        <v>16</v>
      </c>
      <c r="B17" s="3" t="s">
        <v>82</v>
      </c>
      <c r="C17" s="2">
        <f t="shared" si="1"/>
        <v>46194</v>
      </c>
      <c r="D17" s="2">
        <f t="shared" si="0"/>
        <v>46200</v>
      </c>
      <c r="E17" s="31">
        <f>SUMIF('Daily Plan'!$A$2:$A$365,$A17,'Daily Plan'!$E$2:$E$365)</f>
        <v>250</v>
      </c>
      <c r="F17" s="31">
        <f>SUMIF('Daily Plan'!$A$2:$A$365,$A17,'Daily Plan'!$H$2:$H$365)</f>
        <v>213</v>
      </c>
      <c r="G17" s="31">
        <f>SUMIF('Daily Plan'!$A$2:$A$365,$A17,'Daily Plan'!$S$2:$S$365)</f>
        <v>463</v>
      </c>
      <c r="H17" s="5">
        <f>SUMIF('Daily Plan'!$A$2:$A$365,$A17,'Daily Plan'!$I$2:$I$365)</f>
        <v>9</v>
      </c>
      <c r="I17" s="31">
        <f>SUMIF('Daily Plan'!$A$2:$A$365,$A17,'Daily Plan'!$M$2:$M$365)</f>
        <v>0</v>
      </c>
      <c r="J17" s="31">
        <f>SUMIF('Daily Plan'!$A$2:$A$365,$A17,'Daily Plan'!$N$2:$N$365)</f>
        <v>0</v>
      </c>
      <c r="K17" s="31">
        <f>SUMIF('Daily Plan'!$A$2:$A$365,$A17,'Daily Plan'!$T$2:$T$365)</f>
        <v>0</v>
      </c>
      <c r="L17" s="5">
        <f>SUMIF('Daily Plan'!$A$2:$A$365,$A17,'Daily Plan'!$O$2:$O$365)</f>
        <v>0</v>
      </c>
      <c r="M17" s="4">
        <f>SUMIF('Daily Plan'!$A$2:$A$365,$A17,'Daily Plan'!$R$2:$R$365)/7</f>
        <v>0.14285714285714285</v>
      </c>
      <c r="N17" s="5">
        <f>SUMIFS('Daily Plan'!$I$2:$I$365,'Daily Plan'!$A$2:$A$365,$A17,'Daily Plan'!$K$2:$K$365,"Long Run")</f>
        <v>0</v>
      </c>
      <c r="O17" s="5">
        <f>SUMIF('Body Tracker'!$A$6:$A$57,$A17,'Body Tracker'!$C$6:$C$57)</f>
        <v>0</v>
      </c>
      <c r="P17" s="5">
        <f>SUMIF('Body Tracker'!$A$6:$A$57,$A17,'Body Tracker'!$H$6:$H$57)</f>
        <v>0</v>
      </c>
      <c r="Q17" s="5">
        <f>SUMIF('Body Tracker'!$A$6:$A$57,$A17,'Body Tracker'!$I$6:$I$57)</f>
        <v>0</v>
      </c>
    </row>
    <row r="18" spans="1:17" x14ac:dyDescent="0.2">
      <c r="A18" s="25">
        <v>17</v>
      </c>
      <c r="B18" s="25" t="s">
        <v>82</v>
      </c>
      <c r="C18" s="26">
        <f t="shared" si="1"/>
        <v>46201</v>
      </c>
      <c r="D18" s="26">
        <f t="shared" si="0"/>
        <v>46207</v>
      </c>
      <c r="E18" s="27">
        <f>SUMIF('Daily Plan'!$A$2:$A$365,$A18,'Daily Plan'!$E$2:$E$365)</f>
        <v>265</v>
      </c>
      <c r="F18" s="27">
        <f>SUMIF('Daily Plan'!$A$2:$A$365,$A18,'Daily Plan'!$H$2:$H$365)</f>
        <v>212</v>
      </c>
      <c r="G18" s="27">
        <f>SUMIF('Daily Plan'!$A$2:$A$365,$A18,'Daily Plan'!$S$2:$S$365)</f>
        <v>477</v>
      </c>
      <c r="H18" s="28">
        <f>SUMIF('Daily Plan'!$A$2:$A$365,$A18,'Daily Plan'!$I$2:$I$365)</f>
        <v>9.1999999999999993</v>
      </c>
      <c r="I18" s="27">
        <f>SUMIF('Daily Plan'!$A$2:$A$365,$A18,'Daily Plan'!$M$2:$M$365)</f>
        <v>0</v>
      </c>
      <c r="J18" s="27">
        <f>SUMIF('Daily Plan'!$A$2:$A$365,$A18,'Daily Plan'!$N$2:$N$365)</f>
        <v>0</v>
      </c>
      <c r="K18" s="27">
        <f>SUMIF('Daily Plan'!$A$2:$A$365,$A18,'Daily Plan'!$T$2:$T$365)</f>
        <v>0</v>
      </c>
      <c r="L18" s="28">
        <f>SUMIF('Daily Plan'!$A$2:$A$365,$A18,'Daily Plan'!$O$2:$O$365)</f>
        <v>0</v>
      </c>
      <c r="M18" s="32">
        <f>SUMIF('Daily Plan'!$A$2:$A$365,$A18,'Daily Plan'!$R$2:$R$365)/7</f>
        <v>0.14285714285714285</v>
      </c>
      <c r="N18" s="28">
        <f>SUMIFS('Daily Plan'!$I$2:$I$365,'Daily Plan'!$A$2:$A$365,$A18,'Daily Plan'!$K$2:$K$365,"Long Run")</f>
        <v>0</v>
      </c>
      <c r="O18" s="28">
        <f>SUMIF('Body Tracker'!$A$6:$A$57,$A18,'Body Tracker'!$C$6:$C$57)</f>
        <v>0</v>
      </c>
      <c r="P18" s="28">
        <f>SUMIF('Body Tracker'!$A$6:$A$57,$A18,'Body Tracker'!$H$6:$H$57)</f>
        <v>0</v>
      </c>
      <c r="Q18" s="28">
        <f>SUMIF('Body Tracker'!$A$6:$A$57,$A18,'Body Tracker'!$I$6:$I$57)</f>
        <v>0</v>
      </c>
    </row>
    <row r="19" spans="1:17" x14ac:dyDescent="0.2">
      <c r="A19" s="3">
        <v>18</v>
      </c>
      <c r="B19" s="3" t="s">
        <v>82</v>
      </c>
      <c r="C19" s="2">
        <f t="shared" si="1"/>
        <v>46208</v>
      </c>
      <c r="D19" s="2">
        <f t="shared" si="0"/>
        <v>46214</v>
      </c>
      <c r="E19" s="31">
        <f>SUMIF('Daily Plan'!$A$2:$A$365,$A19,'Daily Plan'!$E$2:$E$365)</f>
        <v>220</v>
      </c>
      <c r="F19" s="31">
        <f>SUMIF('Daily Plan'!$A$2:$A$365,$A19,'Daily Plan'!$H$2:$H$365)</f>
        <v>226</v>
      </c>
      <c r="G19" s="31">
        <f>SUMIF('Daily Plan'!$A$2:$A$365,$A19,'Daily Plan'!$S$2:$S$365)</f>
        <v>446</v>
      </c>
      <c r="H19" s="5">
        <f>SUMIF('Daily Plan'!$A$2:$A$365,$A19,'Daily Plan'!$I$2:$I$365)</f>
        <v>12.5</v>
      </c>
      <c r="I19" s="31">
        <f>SUMIF('Daily Plan'!$A$2:$A$365,$A19,'Daily Plan'!$M$2:$M$365)</f>
        <v>0</v>
      </c>
      <c r="J19" s="31">
        <f>SUMIF('Daily Plan'!$A$2:$A$365,$A19,'Daily Plan'!$N$2:$N$365)</f>
        <v>0</v>
      </c>
      <c r="K19" s="31">
        <f>SUMIF('Daily Plan'!$A$2:$A$365,$A19,'Daily Plan'!$T$2:$T$365)</f>
        <v>0</v>
      </c>
      <c r="L19" s="5">
        <f>SUMIF('Daily Plan'!$A$2:$A$365,$A19,'Daily Plan'!$O$2:$O$365)</f>
        <v>0</v>
      </c>
      <c r="M19" s="4">
        <f>SUMIF('Daily Plan'!$A$2:$A$365,$A19,'Daily Plan'!$R$2:$R$365)/7</f>
        <v>0.14285714285714285</v>
      </c>
      <c r="N19" s="5">
        <f>SUMIFS('Daily Plan'!$I$2:$I$365,'Daily Plan'!$A$2:$A$365,$A19,'Daily Plan'!$K$2:$K$365,"Long Run")</f>
        <v>0</v>
      </c>
      <c r="O19" s="5">
        <f>SUMIF('Body Tracker'!$A$6:$A$57,$A19,'Body Tracker'!$C$6:$C$57)</f>
        <v>0</v>
      </c>
      <c r="P19" s="5">
        <f>SUMIF('Body Tracker'!$A$6:$A$57,$A19,'Body Tracker'!$H$6:$H$57)</f>
        <v>0</v>
      </c>
      <c r="Q19" s="5">
        <f>SUMIF('Body Tracker'!$A$6:$A$57,$A19,'Body Tracker'!$I$6:$I$57)</f>
        <v>0</v>
      </c>
    </row>
    <row r="20" spans="1:17" x14ac:dyDescent="0.2">
      <c r="A20" s="25">
        <v>19</v>
      </c>
      <c r="B20" s="25" t="s">
        <v>82</v>
      </c>
      <c r="C20" s="26">
        <f t="shared" si="1"/>
        <v>46215</v>
      </c>
      <c r="D20" s="26">
        <f t="shared" si="0"/>
        <v>46221</v>
      </c>
      <c r="E20" s="27">
        <f>SUMIF('Daily Plan'!$A$2:$A$365,$A20,'Daily Plan'!$E$2:$E$365)</f>
        <v>235</v>
      </c>
      <c r="F20" s="27">
        <f>SUMIF('Daily Plan'!$A$2:$A$365,$A20,'Daily Plan'!$H$2:$H$365)</f>
        <v>231</v>
      </c>
      <c r="G20" s="27">
        <f>SUMIF('Daily Plan'!$A$2:$A$365,$A20,'Daily Plan'!$S$2:$S$365)</f>
        <v>466</v>
      </c>
      <c r="H20" s="28">
        <f>SUMIF('Daily Plan'!$A$2:$A$365,$A20,'Daily Plan'!$I$2:$I$365)</f>
        <v>12.7</v>
      </c>
      <c r="I20" s="27">
        <f>SUMIF('Daily Plan'!$A$2:$A$365,$A20,'Daily Plan'!$M$2:$M$365)</f>
        <v>0</v>
      </c>
      <c r="J20" s="27">
        <f>SUMIF('Daily Plan'!$A$2:$A$365,$A20,'Daily Plan'!$N$2:$N$365)</f>
        <v>0</v>
      </c>
      <c r="K20" s="27">
        <f>SUMIF('Daily Plan'!$A$2:$A$365,$A20,'Daily Plan'!$T$2:$T$365)</f>
        <v>0</v>
      </c>
      <c r="L20" s="28">
        <f>SUMIF('Daily Plan'!$A$2:$A$365,$A20,'Daily Plan'!$O$2:$O$365)</f>
        <v>0</v>
      </c>
      <c r="M20" s="32">
        <f>SUMIF('Daily Plan'!$A$2:$A$365,$A20,'Daily Plan'!$R$2:$R$365)/7</f>
        <v>0.14285714285714285</v>
      </c>
      <c r="N20" s="28">
        <f>SUMIFS('Daily Plan'!$I$2:$I$365,'Daily Plan'!$A$2:$A$365,$A20,'Daily Plan'!$K$2:$K$365,"Long Run")</f>
        <v>0</v>
      </c>
      <c r="O20" s="28">
        <f>SUMIF('Body Tracker'!$A$6:$A$57,$A20,'Body Tracker'!$C$6:$C$57)</f>
        <v>0</v>
      </c>
      <c r="P20" s="28">
        <f>SUMIF('Body Tracker'!$A$6:$A$57,$A20,'Body Tracker'!$H$6:$H$57)</f>
        <v>0</v>
      </c>
      <c r="Q20" s="28">
        <f>SUMIF('Body Tracker'!$A$6:$A$57,$A20,'Body Tracker'!$I$6:$I$57)</f>
        <v>0</v>
      </c>
    </row>
    <row r="21" spans="1:17" x14ac:dyDescent="0.2">
      <c r="A21" s="3">
        <v>20</v>
      </c>
      <c r="B21" s="3" t="s">
        <v>82</v>
      </c>
      <c r="C21" s="2">
        <f t="shared" si="1"/>
        <v>46222</v>
      </c>
      <c r="D21" s="2">
        <f t="shared" si="0"/>
        <v>46228</v>
      </c>
      <c r="E21" s="31">
        <f>SUMIF('Daily Plan'!$A$2:$A$365,$A21,'Daily Plan'!$E$2:$E$365)</f>
        <v>250</v>
      </c>
      <c r="F21" s="31">
        <f>SUMIF('Daily Plan'!$A$2:$A$365,$A21,'Daily Plan'!$H$2:$H$365)</f>
        <v>250</v>
      </c>
      <c r="G21" s="31">
        <f>SUMIF('Daily Plan'!$A$2:$A$365,$A21,'Daily Plan'!$S$2:$S$365)</f>
        <v>500</v>
      </c>
      <c r="H21" s="5">
        <f>SUMIF('Daily Plan'!$A$2:$A$365,$A21,'Daily Plan'!$I$2:$I$365)</f>
        <v>12.2</v>
      </c>
      <c r="I21" s="31">
        <f>SUMIF('Daily Plan'!$A$2:$A$365,$A21,'Daily Plan'!$M$2:$M$365)</f>
        <v>0</v>
      </c>
      <c r="J21" s="31">
        <f>SUMIF('Daily Plan'!$A$2:$A$365,$A21,'Daily Plan'!$N$2:$N$365)</f>
        <v>0</v>
      </c>
      <c r="K21" s="31">
        <f>SUMIF('Daily Plan'!$A$2:$A$365,$A21,'Daily Plan'!$T$2:$T$365)</f>
        <v>0</v>
      </c>
      <c r="L21" s="5">
        <f>SUMIF('Daily Plan'!$A$2:$A$365,$A21,'Daily Plan'!$O$2:$O$365)</f>
        <v>0</v>
      </c>
      <c r="M21" s="4">
        <f>SUMIF('Daily Plan'!$A$2:$A$365,$A21,'Daily Plan'!$R$2:$R$365)/7</f>
        <v>0.14285714285714285</v>
      </c>
      <c r="N21" s="5">
        <f>SUMIFS('Daily Plan'!$I$2:$I$365,'Daily Plan'!$A$2:$A$365,$A21,'Daily Plan'!$K$2:$K$365,"Long Run")</f>
        <v>6</v>
      </c>
      <c r="O21" s="5">
        <f>SUMIF('Body Tracker'!$A$6:$A$57,$A21,'Body Tracker'!$C$6:$C$57)</f>
        <v>0</v>
      </c>
      <c r="P21" s="5">
        <f>SUMIF('Body Tracker'!$A$6:$A$57,$A21,'Body Tracker'!$H$6:$H$57)</f>
        <v>0</v>
      </c>
      <c r="Q21" s="5">
        <f>SUMIF('Body Tracker'!$A$6:$A$57,$A21,'Body Tracker'!$I$6:$I$57)</f>
        <v>0</v>
      </c>
    </row>
    <row r="22" spans="1:17" x14ac:dyDescent="0.2">
      <c r="A22" s="25">
        <v>21</v>
      </c>
      <c r="B22" s="25" t="s">
        <v>82</v>
      </c>
      <c r="C22" s="26">
        <f t="shared" si="1"/>
        <v>46229</v>
      </c>
      <c r="D22" s="26">
        <f t="shared" si="0"/>
        <v>46235</v>
      </c>
      <c r="E22" s="27">
        <f>SUMIF('Daily Plan'!$A$2:$A$365,$A22,'Daily Plan'!$E$2:$E$365)</f>
        <v>265</v>
      </c>
      <c r="F22" s="27">
        <f>SUMIF('Daily Plan'!$A$2:$A$365,$A22,'Daily Plan'!$H$2:$H$365)</f>
        <v>244</v>
      </c>
      <c r="G22" s="27">
        <f>SUMIF('Daily Plan'!$A$2:$A$365,$A22,'Daily Plan'!$S$2:$S$365)</f>
        <v>509</v>
      </c>
      <c r="H22" s="28">
        <f>SUMIF('Daily Plan'!$A$2:$A$365,$A22,'Daily Plan'!$I$2:$I$365)</f>
        <v>11.7</v>
      </c>
      <c r="I22" s="27">
        <f>SUMIF('Daily Plan'!$A$2:$A$365,$A22,'Daily Plan'!$M$2:$M$365)</f>
        <v>0</v>
      </c>
      <c r="J22" s="27">
        <f>SUMIF('Daily Plan'!$A$2:$A$365,$A22,'Daily Plan'!$N$2:$N$365)</f>
        <v>0</v>
      </c>
      <c r="K22" s="27">
        <f>SUMIF('Daily Plan'!$A$2:$A$365,$A22,'Daily Plan'!$T$2:$T$365)</f>
        <v>0</v>
      </c>
      <c r="L22" s="28">
        <f>SUMIF('Daily Plan'!$A$2:$A$365,$A22,'Daily Plan'!$O$2:$O$365)</f>
        <v>0</v>
      </c>
      <c r="M22" s="32">
        <f>SUMIF('Daily Plan'!$A$2:$A$365,$A22,'Daily Plan'!$R$2:$R$365)/7</f>
        <v>0.14285714285714285</v>
      </c>
      <c r="N22" s="28">
        <f>SUMIFS('Daily Plan'!$I$2:$I$365,'Daily Plan'!$A$2:$A$365,$A22,'Daily Plan'!$K$2:$K$365,"Long Run")</f>
        <v>6</v>
      </c>
      <c r="O22" s="28">
        <f>SUMIF('Body Tracker'!$A$6:$A$57,$A22,'Body Tracker'!$C$6:$C$57)</f>
        <v>0</v>
      </c>
      <c r="P22" s="28">
        <f>SUMIF('Body Tracker'!$A$6:$A$57,$A22,'Body Tracker'!$H$6:$H$57)</f>
        <v>0</v>
      </c>
      <c r="Q22" s="28">
        <f>SUMIF('Body Tracker'!$A$6:$A$57,$A22,'Body Tracker'!$I$6:$I$57)</f>
        <v>0</v>
      </c>
    </row>
    <row r="23" spans="1:17" x14ac:dyDescent="0.2">
      <c r="A23" s="3">
        <v>22</v>
      </c>
      <c r="B23" s="3" t="s">
        <v>82</v>
      </c>
      <c r="C23" s="2">
        <f t="shared" si="1"/>
        <v>46236</v>
      </c>
      <c r="D23" s="2">
        <f t="shared" si="0"/>
        <v>46242</v>
      </c>
      <c r="E23" s="31">
        <f>SUMIF('Daily Plan'!$A$2:$A$365,$A23,'Daily Plan'!$E$2:$E$365)</f>
        <v>220</v>
      </c>
      <c r="F23" s="31">
        <f>SUMIF('Daily Plan'!$A$2:$A$365,$A23,'Daily Plan'!$H$2:$H$365)</f>
        <v>268</v>
      </c>
      <c r="G23" s="31">
        <f>SUMIF('Daily Plan'!$A$2:$A$365,$A23,'Daily Plan'!$S$2:$S$365)</f>
        <v>488</v>
      </c>
      <c r="H23" s="5">
        <f>SUMIF('Daily Plan'!$A$2:$A$365,$A23,'Daily Plan'!$I$2:$I$365)</f>
        <v>15</v>
      </c>
      <c r="I23" s="31">
        <f>SUMIF('Daily Plan'!$A$2:$A$365,$A23,'Daily Plan'!$M$2:$M$365)</f>
        <v>0</v>
      </c>
      <c r="J23" s="31">
        <f>SUMIF('Daily Plan'!$A$2:$A$365,$A23,'Daily Plan'!$N$2:$N$365)</f>
        <v>0</v>
      </c>
      <c r="K23" s="31">
        <f>SUMIF('Daily Plan'!$A$2:$A$365,$A23,'Daily Plan'!$T$2:$T$365)</f>
        <v>0</v>
      </c>
      <c r="L23" s="5">
        <f>SUMIF('Daily Plan'!$A$2:$A$365,$A23,'Daily Plan'!$O$2:$O$365)</f>
        <v>0</v>
      </c>
      <c r="M23" s="4">
        <f>SUMIF('Daily Plan'!$A$2:$A$365,$A23,'Daily Plan'!$R$2:$R$365)/7</f>
        <v>0.14285714285714285</v>
      </c>
      <c r="N23" s="5">
        <f>SUMIFS('Daily Plan'!$I$2:$I$365,'Daily Plan'!$A$2:$A$365,$A23,'Daily Plan'!$K$2:$K$365,"Long Run")</f>
        <v>7</v>
      </c>
      <c r="O23" s="5">
        <f>SUMIF('Body Tracker'!$A$6:$A$57,$A23,'Body Tracker'!$C$6:$C$57)</f>
        <v>0</v>
      </c>
      <c r="P23" s="5">
        <f>SUMIF('Body Tracker'!$A$6:$A$57,$A23,'Body Tracker'!$H$6:$H$57)</f>
        <v>0</v>
      </c>
      <c r="Q23" s="5">
        <f>SUMIF('Body Tracker'!$A$6:$A$57,$A23,'Body Tracker'!$I$6:$I$57)</f>
        <v>0</v>
      </c>
    </row>
    <row r="24" spans="1:17" x14ac:dyDescent="0.2">
      <c r="A24" s="25">
        <v>23</v>
      </c>
      <c r="B24" s="25" t="s">
        <v>82</v>
      </c>
      <c r="C24" s="26">
        <f t="shared" si="1"/>
        <v>46243</v>
      </c>
      <c r="D24" s="26">
        <f t="shared" si="0"/>
        <v>46249</v>
      </c>
      <c r="E24" s="27">
        <f>SUMIF('Daily Plan'!$A$2:$A$365,$A24,'Daily Plan'!$E$2:$E$365)</f>
        <v>235</v>
      </c>
      <c r="F24" s="27">
        <f>SUMIF('Daily Plan'!$A$2:$A$365,$A24,'Daily Plan'!$H$2:$H$365)</f>
        <v>263</v>
      </c>
      <c r="G24" s="27">
        <f>SUMIF('Daily Plan'!$A$2:$A$365,$A24,'Daily Plan'!$S$2:$S$365)</f>
        <v>498</v>
      </c>
      <c r="H24" s="28">
        <f>SUMIF('Daily Plan'!$A$2:$A$365,$A24,'Daily Plan'!$I$2:$I$365)</f>
        <v>15.2</v>
      </c>
      <c r="I24" s="27">
        <f>SUMIF('Daily Plan'!$A$2:$A$365,$A24,'Daily Plan'!$M$2:$M$365)</f>
        <v>0</v>
      </c>
      <c r="J24" s="27">
        <f>SUMIF('Daily Plan'!$A$2:$A$365,$A24,'Daily Plan'!$N$2:$N$365)</f>
        <v>0</v>
      </c>
      <c r="K24" s="27">
        <f>SUMIF('Daily Plan'!$A$2:$A$365,$A24,'Daily Plan'!$T$2:$T$365)</f>
        <v>0</v>
      </c>
      <c r="L24" s="28">
        <f>SUMIF('Daily Plan'!$A$2:$A$365,$A24,'Daily Plan'!$O$2:$O$365)</f>
        <v>0</v>
      </c>
      <c r="M24" s="32">
        <f>SUMIF('Daily Plan'!$A$2:$A$365,$A24,'Daily Plan'!$R$2:$R$365)/7</f>
        <v>0.14285714285714285</v>
      </c>
      <c r="N24" s="28">
        <f>SUMIFS('Daily Plan'!$I$2:$I$365,'Daily Plan'!$A$2:$A$365,$A24,'Daily Plan'!$K$2:$K$365,"Long Run")</f>
        <v>7</v>
      </c>
      <c r="O24" s="28">
        <f>SUMIF('Body Tracker'!$A$6:$A$57,$A24,'Body Tracker'!$C$6:$C$57)</f>
        <v>0</v>
      </c>
      <c r="P24" s="28">
        <f>SUMIF('Body Tracker'!$A$6:$A$57,$A24,'Body Tracker'!$H$6:$H$57)</f>
        <v>0</v>
      </c>
      <c r="Q24" s="28">
        <f>SUMIF('Body Tracker'!$A$6:$A$57,$A24,'Body Tracker'!$I$6:$I$57)</f>
        <v>0</v>
      </c>
    </row>
    <row r="25" spans="1:17" x14ac:dyDescent="0.2">
      <c r="A25" s="3">
        <v>24</v>
      </c>
      <c r="B25" s="3" t="s">
        <v>82</v>
      </c>
      <c r="C25" s="2">
        <f t="shared" si="1"/>
        <v>46250</v>
      </c>
      <c r="D25" s="2">
        <f t="shared" si="0"/>
        <v>46256</v>
      </c>
      <c r="E25" s="31">
        <f>SUMIF('Daily Plan'!$A$2:$A$365,$A25,'Daily Plan'!$E$2:$E$365)</f>
        <v>250</v>
      </c>
      <c r="F25" s="31">
        <f>SUMIF('Daily Plan'!$A$2:$A$365,$A25,'Daily Plan'!$H$2:$H$365)</f>
        <v>282</v>
      </c>
      <c r="G25" s="31">
        <f>SUMIF('Daily Plan'!$A$2:$A$365,$A25,'Daily Plan'!$S$2:$S$365)</f>
        <v>532</v>
      </c>
      <c r="H25" s="5">
        <f>SUMIF('Daily Plan'!$A$2:$A$365,$A25,'Daily Plan'!$I$2:$I$365)</f>
        <v>14.7</v>
      </c>
      <c r="I25" s="31">
        <f>SUMIF('Daily Plan'!$A$2:$A$365,$A25,'Daily Plan'!$M$2:$M$365)</f>
        <v>0</v>
      </c>
      <c r="J25" s="31">
        <f>SUMIF('Daily Plan'!$A$2:$A$365,$A25,'Daily Plan'!$N$2:$N$365)</f>
        <v>0</v>
      </c>
      <c r="K25" s="31">
        <f>SUMIF('Daily Plan'!$A$2:$A$365,$A25,'Daily Plan'!$T$2:$T$365)</f>
        <v>0</v>
      </c>
      <c r="L25" s="5">
        <f>SUMIF('Daily Plan'!$A$2:$A$365,$A25,'Daily Plan'!$O$2:$O$365)</f>
        <v>0</v>
      </c>
      <c r="M25" s="4">
        <f>SUMIF('Daily Plan'!$A$2:$A$365,$A25,'Daily Plan'!$R$2:$R$365)/7</f>
        <v>0.14285714285714285</v>
      </c>
      <c r="N25" s="5">
        <f>SUMIFS('Daily Plan'!$I$2:$I$365,'Daily Plan'!$A$2:$A$365,$A25,'Daily Plan'!$K$2:$K$365,"Long Run")</f>
        <v>8</v>
      </c>
      <c r="O25" s="5">
        <f>SUMIF('Body Tracker'!$A$6:$A$57,$A25,'Body Tracker'!$C$6:$C$57)</f>
        <v>0</v>
      </c>
      <c r="P25" s="5">
        <f>SUMIF('Body Tracker'!$A$6:$A$57,$A25,'Body Tracker'!$H$6:$H$57)</f>
        <v>0</v>
      </c>
      <c r="Q25" s="5">
        <f>SUMIF('Body Tracker'!$A$6:$A$57,$A25,'Body Tracker'!$I$6:$I$57)</f>
        <v>0</v>
      </c>
    </row>
    <row r="26" spans="1:17" x14ac:dyDescent="0.2">
      <c r="A26" s="25">
        <v>25</v>
      </c>
      <c r="B26" s="25" t="s">
        <v>88</v>
      </c>
      <c r="C26" s="26">
        <f t="shared" si="1"/>
        <v>46257</v>
      </c>
      <c r="D26" s="26">
        <f t="shared" si="0"/>
        <v>46263</v>
      </c>
      <c r="E26" s="27">
        <f>SUMIF('Daily Plan'!$A$2:$A$365,$A26,'Daily Plan'!$E$2:$E$365)</f>
        <v>220</v>
      </c>
      <c r="F26" s="27">
        <f>SUMIF('Daily Plan'!$A$2:$A$365,$A26,'Daily Plan'!$H$2:$H$365)</f>
        <v>273</v>
      </c>
      <c r="G26" s="27">
        <f>SUMIF('Daily Plan'!$A$2:$A$365,$A26,'Daily Plan'!$S$2:$S$365)</f>
        <v>493</v>
      </c>
      <c r="H26" s="28">
        <f>SUMIF('Daily Plan'!$A$2:$A$365,$A26,'Daily Plan'!$I$2:$I$365)</f>
        <v>13.5</v>
      </c>
      <c r="I26" s="27">
        <f>SUMIF('Daily Plan'!$A$2:$A$365,$A26,'Daily Plan'!$M$2:$M$365)</f>
        <v>0</v>
      </c>
      <c r="J26" s="27">
        <f>SUMIF('Daily Plan'!$A$2:$A$365,$A26,'Daily Plan'!$N$2:$N$365)</f>
        <v>0</v>
      </c>
      <c r="K26" s="27">
        <f>SUMIF('Daily Plan'!$A$2:$A$365,$A26,'Daily Plan'!$T$2:$T$365)</f>
        <v>0</v>
      </c>
      <c r="L26" s="28">
        <f>SUMIF('Daily Plan'!$A$2:$A$365,$A26,'Daily Plan'!$O$2:$O$365)</f>
        <v>0</v>
      </c>
      <c r="M26" s="32">
        <f>SUMIF('Daily Plan'!$A$2:$A$365,$A26,'Daily Plan'!$R$2:$R$365)/7</f>
        <v>0.14285714285714285</v>
      </c>
      <c r="N26" s="28">
        <f>SUMIFS('Daily Plan'!$I$2:$I$365,'Daily Plan'!$A$2:$A$365,$A26,'Daily Plan'!$K$2:$K$365,"Long Run")</f>
        <v>8</v>
      </c>
      <c r="O26" s="28">
        <f>SUMIF('Body Tracker'!$A$6:$A$57,$A26,'Body Tracker'!$C$6:$C$57)</f>
        <v>0</v>
      </c>
      <c r="P26" s="28">
        <f>SUMIF('Body Tracker'!$A$6:$A$57,$A26,'Body Tracker'!$H$6:$H$57)</f>
        <v>0</v>
      </c>
      <c r="Q26" s="28">
        <f>SUMIF('Body Tracker'!$A$6:$A$57,$A26,'Body Tracker'!$I$6:$I$57)</f>
        <v>0</v>
      </c>
    </row>
    <row r="27" spans="1:17" x14ac:dyDescent="0.2">
      <c r="A27" s="3">
        <v>26</v>
      </c>
      <c r="B27" s="3" t="s">
        <v>88</v>
      </c>
      <c r="C27" s="2">
        <f t="shared" si="1"/>
        <v>46264</v>
      </c>
      <c r="D27" s="2">
        <f t="shared" si="0"/>
        <v>46270</v>
      </c>
      <c r="E27" s="31">
        <f>SUMIF('Daily Plan'!$A$2:$A$365,$A27,'Daily Plan'!$E$2:$E$365)</f>
        <v>215</v>
      </c>
      <c r="F27" s="31">
        <f>SUMIF('Daily Plan'!$A$2:$A$365,$A27,'Daily Plan'!$H$2:$H$365)</f>
        <v>287</v>
      </c>
      <c r="G27" s="31">
        <f>SUMIF('Daily Plan'!$A$2:$A$365,$A27,'Daily Plan'!$S$2:$S$365)</f>
        <v>502</v>
      </c>
      <c r="H27" s="5">
        <f>SUMIF('Daily Plan'!$A$2:$A$365,$A27,'Daily Plan'!$I$2:$I$365)</f>
        <v>16.3</v>
      </c>
      <c r="I27" s="31">
        <f>SUMIF('Daily Plan'!$A$2:$A$365,$A27,'Daily Plan'!$M$2:$M$365)</f>
        <v>0</v>
      </c>
      <c r="J27" s="31">
        <f>SUMIF('Daily Plan'!$A$2:$A$365,$A27,'Daily Plan'!$N$2:$N$365)</f>
        <v>0</v>
      </c>
      <c r="K27" s="31">
        <f>SUMIF('Daily Plan'!$A$2:$A$365,$A27,'Daily Plan'!$T$2:$T$365)</f>
        <v>0</v>
      </c>
      <c r="L27" s="5">
        <f>SUMIF('Daily Plan'!$A$2:$A$365,$A27,'Daily Plan'!$O$2:$O$365)</f>
        <v>0</v>
      </c>
      <c r="M27" s="4">
        <f>SUMIF('Daily Plan'!$A$2:$A$365,$A27,'Daily Plan'!$R$2:$R$365)/7</f>
        <v>0.14285714285714285</v>
      </c>
      <c r="N27" s="5">
        <f>SUMIFS('Daily Plan'!$I$2:$I$365,'Daily Plan'!$A$2:$A$365,$A27,'Daily Plan'!$K$2:$K$365,"Long Run")</f>
        <v>9</v>
      </c>
      <c r="O27" s="5">
        <f>SUMIF('Body Tracker'!$A$6:$A$57,$A27,'Body Tracker'!$C$6:$C$57)</f>
        <v>0</v>
      </c>
      <c r="P27" s="5">
        <f>SUMIF('Body Tracker'!$A$6:$A$57,$A27,'Body Tracker'!$H$6:$H$57)</f>
        <v>0</v>
      </c>
      <c r="Q27" s="5">
        <f>SUMIF('Body Tracker'!$A$6:$A$57,$A27,'Body Tracker'!$I$6:$I$57)</f>
        <v>0</v>
      </c>
    </row>
    <row r="28" spans="1:17" x14ac:dyDescent="0.2">
      <c r="A28" s="25">
        <v>27</v>
      </c>
      <c r="B28" s="25" t="s">
        <v>88</v>
      </c>
      <c r="C28" s="26">
        <f t="shared" si="1"/>
        <v>46271</v>
      </c>
      <c r="D28" s="26">
        <f t="shared" si="0"/>
        <v>46277</v>
      </c>
      <c r="E28" s="27">
        <f>SUMIF('Daily Plan'!$A$2:$A$365,$A28,'Daily Plan'!$E$2:$E$365)</f>
        <v>190</v>
      </c>
      <c r="F28" s="27">
        <f>SUMIF('Daily Plan'!$A$2:$A$365,$A28,'Daily Plan'!$H$2:$H$365)</f>
        <v>309</v>
      </c>
      <c r="G28" s="27">
        <f>SUMIF('Daily Plan'!$A$2:$A$365,$A28,'Daily Plan'!$S$2:$S$365)</f>
        <v>499</v>
      </c>
      <c r="H28" s="28">
        <f>SUMIF('Daily Plan'!$A$2:$A$365,$A28,'Daily Plan'!$I$2:$I$365)</f>
        <v>18</v>
      </c>
      <c r="I28" s="27">
        <f>SUMIF('Daily Plan'!$A$2:$A$365,$A28,'Daily Plan'!$M$2:$M$365)</f>
        <v>0</v>
      </c>
      <c r="J28" s="27">
        <f>SUMIF('Daily Plan'!$A$2:$A$365,$A28,'Daily Plan'!$N$2:$N$365)</f>
        <v>0</v>
      </c>
      <c r="K28" s="27">
        <f>SUMIF('Daily Plan'!$A$2:$A$365,$A28,'Daily Plan'!$T$2:$T$365)</f>
        <v>0</v>
      </c>
      <c r="L28" s="28">
        <f>SUMIF('Daily Plan'!$A$2:$A$365,$A28,'Daily Plan'!$O$2:$O$365)</f>
        <v>0</v>
      </c>
      <c r="M28" s="32">
        <f>SUMIF('Daily Plan'!$A$2:$A$365,$A28,'Daily Plan'!$R$2:$R$365)/7</f>
        <v>0.14285714285714285</v>
      </c>
      <c r="N28" s="28">
        <f>SUMIFS('Daily Plan'!$I$2:$I$365,'Daily Plan'!$A$2:$A$365,$A28,'Daily Plan'!$K$2:$K$365,"Long Run")</f>
        <v>10</v>
      </c>
      <c r="O28" s="28">
        <f>SUMIF('Body Tracker'!$A$6:$A$57,$A28,'Body Tracker'!$C$6:$C$57)</f>
        <v>0</v>
      </c>
      <c r="P28" s="28">
        <f>SUMIF('Body Tracker'!$A$6:$A$57,$A28,'Body Tracker'!$H$6:$H$57)</f>
        <v>0</v>
      </c>
      <c r="Q28" s="28">
        <f>SUMIF('Body Tracker'!$A$6:$A$57,$A28,'Body Tracker'!$I$6:$I$57)</f>
        <v>0</v>
      </c>
    </row>
    <row r="29" spans="1:17" x14ac:dyDescent="0.2">
      <c r="A29" s="3">
        <v>28</v>
      </c>
      <c r="B29" s="3" t="s">
        <v>88</v>
      </c>
      <c r="C29" s="2">
        <f t="shared" si="1"/>
        <v>46278</v>
      </c>
      <c r="D29" s="2">
        <f t="shared" si="0"/>
        <v>46284</v>
      </c>
      <c r="E29" s="31">
        <f>SUMIF('Daily Plan'!$A$2:$A$365,$A29,'Daily Plan'!$E$2:$E$365)</f>
        <v>245</v>
      </c>
      <c r="F29" s="31">
        <f>SUMIF('Daily Plan'!$A$2:$A$365,$A29,'Daily Plan'!$H$2:$H$365)</f>
        <v>260</v>
      </c>
      <c r="G29" s="31">
        <f>SUMIF('Daily Plan'!$A$2:$A$365,$A29,'Daily Plan'!$S$2:$S$365)</f>
        <v>505</v>
      </c>
      <c r="H29" s="5">
        <f>SUMIF('Daily Plan'!$A$2:$A$365,$A29,'Daily Plan'!$I$2:$I$365)</f>
        <v>12.5</v>
      </c>
      <c r="I29" s="31">
        <f>SUMIF('Daily Plan'!$A$2:$A$365,$A29,'Daily Plan'!$M$2:$M$365)</f>
        <v>0</v>
      </c>
      <c r="J29" s="31">
        <f>SUMIF('Daily Plan'!$A$2:$A$365,$A29,'Daily Plan'!$N$2:$N$365)</f>
        <v>0</v>
      </c>
      <c r="K29" s="31">
        <f>SUMIF('Daily Plan'!$A$2:$A$365,$A29,'Daily Plan'!$T$2:$T$365)</f>
        <v>0</v>
      </c>
      <c r="L29" s="5">
        <f>SUMIF('Daily Plan'!$A$2:$A$365,$A29,'Daily Plan'!$O$2:$O$365)</f>
        <v>0</v>
      </c>
      <c r="M29" s="4">
        <f>SUMIF('Daily Plan'!$A$2:$A$365,$A29,'Daily Plan'!$R$2:$R$365)/7</f>
        <v>0.14285714285714285</v>
      </c>
      <c r="N29" s="5">
        <f>SUMIFS('Daily Plan'!$I$2:$I$365,'Daily Plan'!$A$2:$A$365,$A29,'Daily Plan'!$K$2:$K$365,"Long Run")</f>
        <v>7</v>
      </c>
      <c r="O29" s="5">
        <f>SUMIF('Body Tracker'!$A$6:$A$57,$A29,'Body Tracker'!$C$6:$C$57)</f>
        <v>0</v>
      </c>
      <c r="P29" s="5">
        <f>SUMIF('Body Tracker'!$A$6:$A$57,$A29,'Body Tracker'!$H$6:$H$57)</f>
        <v>0</v>
      </c>
      <c r="Q29" s="5">
        <f>SUMIF('Body Tracker'!$A$6:$A$57,$A29,'Body Tracker'!$I$6:$I$57)</f>
        <v>0</v>
      </c>
    </row>
    <row r="30" spans="1:17" x14ac:dyDescent="0.2">
      <c r="A30" s="25">
        <v>29</v>
      </c>
      <c r="B30" s="25" t="s">
        <v>88</v>
      </c>
      <c r="C30" s="26">
        <f t="shared" si="1"/>
        <v>46285</v>
      </c>
      <c r="D30" s="26">
        <f t="shared" si="0"/>
        <v>46291</v>
      </c>
      <c r="E30" s="27">
        <f>SUMIF('Daily Plan'!$A$2:$A$365,$A30,'Daily Plan'!$E$2:$E$365)</f>
        <v>220</v>
      </c>
      <c r="F30" s="27">
        <f>SUMIF('Daily Plan'!$A$2:$A$365,$A30,'Daily Plan'!$H$2:$H$365)</f>
        <v>314</v>
      </c>
      <c r="G30" s="27">
        <f>SUMIF('Daily Plan'!$A$2:$A$365,$A30,'Daily Plan'!$S$2:$S$365)</f>
        <v>534</v>
      </c>
      <c r="H30" s="28">
        <f>SUMIF('Daily Plan'!$A$2:$A$365,$A30,'Daily Plan'!$I$2:$I$365)</f>
        <v>16.5</v>
      </c>
      <c r="I30" s="27">
        <f>SUMIF('Daily Plan'!$A$2:$A$365,$A30,'Daily Plan'!$M$2:$M$365)</f>
        <v>0</v>
      </c>
      <c r="J30" s="27">
        <f>SUMIF('Daily Plan'!$A$2:$A$365,$A30,'Daily Plan'!$N$2:$N$365)</f>
        <v>0</v>
      </c>
      <c r="K30" s="27">
        <f>SUMIF('Daily Plan'!$A$2:$A$365,$A30,'Daily Plan'!$T$2:$T$365)</f>
        <v>0</v>
      </c>
      <c r="L30" s="28">
        <f>SUMIF('Daily Plan'!$A$2:$A$365,$A30,'Daily Plan'!$O$2:$O$365)</f>
        <v>0</v>
      </c>
      <c r="M30" s="32">
        <f>SUMIF('Daily Plan'!$A$2:$A$365,$A30,'Daily Plan'!$R$2:$R$365)/7</f>
        <v>0.14285714285714285</v>
      </c>
      <c r="N30" s="28">
        <f>SUMIFS('Daily Plan'!$I$2:$I$365,'Daily Plan'!$A$2:$A$365,$A30,'Daily Plan'!$K$2:$K$365,"Long Run")</f>
        <v>10</v>
      </c>
      <c r="O30" s="28">
        <f>SUMIF('Body Tracker'!$A$6:$A$57,$A30,'Body Tracker'!$C$6:$C$57)</f>
        <v>0</v>
      </c>
      <c r="P30" s="28">
        <f>SUMIF('Body Tracker'!$A$6:$A$57,$A30,'Body Tracker'!$H$6:$H$57)</f>
        <v>0</v>
      </c>
      <c r="Q30" s="28">
        <f>SUMIF('Body Tracker'!$A$6:$A$57,$A30,'Body Tracker'!$I$6:$I$57)</f>
        <v>0</v>
      </c>
    </row>
    <row r="31" spans="1:17" x14ac:dyDescent="0.2">
      <c r="A31" s="3">
        <v>30</v>
      </c>
      <c r="B31" s="3" t="s">
        <v>88</v>
      </c>
      <c r="C31" s="2">
        <f t="shared" si="1"/>
        <v>46292</v>
      </c>
      <c r="D31" s="2">
        <f t="shared" si="0"/>
        <v>46298</v>
      </c>
      <c r="E31" s="31">
        <f>SUMIF('Daily Plan'!$A$2:$A$365,$A31,'Daily Plan'!$E$2:$E$365)</f>
        <v>215</v>
      </c>
      <c r="F31" s="31">
        <f>SUMIF('Daily Plan'!$A$2:$A$365,$A31,'Daily Plan'!$H$2:$H$365)</f>
        <v>328</v>
      </c>
      <c r="G31" s="31">
        <f>SUMIF('Daily Plan'!$A$2:$A$365,$A31,'Daily Plan'!$S$2:$S$365)</f>
        <v>543</v>
      </c>
      <c r="H31" s="5">
        <f>SUMIF('Daily Plan'!$A$2:$A$365,$A31,'Daily Plan'!$I$2:$I$365)</f>
        <v>19.3</v>
      </c>
      <c r="I31" s="31">
        <f>SUMIF('Daily Plan'!$A$2:$A$365,$A31,'Daily Plan'!$M$2:$M$365)</f>
        <v>0</v>
      </c>
      <c r="J31" s="31">
        <f>SUMIF('Daily Plan'!$A$2:$A$365,$A31,'Daily Plan'!$N$2:$N$365)</f>
        <v>0</v>
      </c>
      <c r="K31" s="31">
        <f>SUMIF('Daily Plan'!$A$2:$A$365,$A31,'Daily Plan'!$T$2:$T$365)</f>
        <v>0</v>
      </c>
      <c r="L31" s="5">
        <f>SUMIF('Daily Plan'!$A$2:$A$365,$A31,'Daily Plan'!$O$2:$O$365)</f>
        <v>0</v>
      </c>
      <c r="M31" s="4">
        <f>SUMIF('Daily Plan'!$A$2:$A$365,$A31,'Daily Plan'!$R$2:$R$365)/7</f>
        <v>0.14285714285714285</v>
      </c>
      <c r="N31" s="5">
        <f>SUMIFS('Daily Plan'!$I$2:$I$365,'Daily Plan'!$A$2:$A$365,$A31,'Daily Plan'!$K$2:$K$365,"Long Run")</f>
        <v>11</v>
      </c>
      <c r="O31" s="5">
        <f>SUMIF('Body Tracker'!$A$6:$A$57,$A31,'Body Tracker'!$C$6:$C$57)</f>
        <v>0</v>
      </c>
      <c r="P31" s="5">
        <f>SUMIF('Body Tracker'!$A$6:$A$57,$A31,'Body Tracker'!$H$6:$H$57)</f>
        <v>0</v>
      </c>
      <c r="Q31" s="5">
        <f>SUMIF('Body Tracker'!$A$6:$A$57,$A31,'Body Tracker'!$I$6:$I$57)</f>
        <v>0</v>
      </c>
    </row>
    <row r="32" spans="1:17" x14ac:dyDescent="0.2">
      <c r="A32" s="25">
        <v>31</v>
      </c>
      <c r="B32" s="25" t="s">
        <v>88</v>
      </c>
      <c r="C32" s="26">
        <f t="shared" si="1"/>
        <v>46299</v>
      </c>
      <c r="D32" s="26">
        <f t="shared" si="0"/>
        <v>46305</v>
      </c>
      <c r="E32" s="27">
        <f>SUMIF('Daily Plan'!$A$2:$A$365,$A32,'Daily Plan'!$E$2:$E$365)</f>
        <v>190</v>
      </c>
      <c r="F32" s="27">
        <f>SUMIF('Daily Plan'!$A$2:$A$365,$A32,'Daily Plan'!$H$2:$H$365)</f>
        <v>350</v>
      </c>
      <c r="G32" s="27">
        <f>SUMIF('Daily Plan'!$A$2:$A$365,$A32,'Daily Plan'!$S$2:$S$365)</f>
        <v>540</v>
      </c>
      <c r="H32" s="28">
        <f>SUMIF('Daily Plan'!$A$2:$A$365,$A32,'Daily Plan'!$I$2:$I$365)</f>
        <v>21</v>
      </c>
      <c r="I32" s="27">
        <f>SUMIF('Daily Plan'!$A$2:$A$365,$A32,'Daily Plan'!$M$2:$M$365)</f>
        <v>0</v>
      </c>
      <c r="J32" s="27">
        <f>SUMIF('Daily Plan'!$A$2:$A$365,$A32,'Daily Plan'!$N$2:$N$365)</f>
        <v>0</v>
      </c>
      <c r="K32" s="27">
        <f>SUMIF('Daily Plan'!$A$2:$A$365,$A32,'Daily Plan'!$T$2:$T$365)</f>
        <v>0</v>
      </c>
      <c r="L32" s="28">
        <f>SUMIF('Daily Plan'!$A$2:$A$365,$A32,'Daily Plan'!$O$2:$O$365)</f>
        <v>0</v>
      </c>
      <c r="M32" s="32">
        <f>SUMIF('Daily Plan'!$A$2:$A$365,$A32,'Daily Plan'!$R$2:$R$365)/7</f>
        <v>0.14285714285714285</v>
      </c>
      <c r="N32" s="28">
        <f>SUMIFS('Daily Plan'!$I$2:$I$365,'Daily Plan'!$A$2:$A$365,$A32,'Daily Plan'!$K$2:$K$365,"Long Run")</f>
        <v>12</v>
      </c>
      <c r="O32" s="28">
        <f>SUMIF('Body Tracker'!$A$6:$A$57,$A32,'Body Tracker'!$C$6:$C$57)</f>
        <v>0</v>
      </c>
      <c r="P32" s="28">
        <f>SUMIF('Body Tracker'!$A$6:$A$57,$A32,'Body Tracker'!$H$6:$H$57)</f>
        <v>0</v>
      </c>
      <c r="Q32" s="28">
        <f>SUMIF('Body Tracker'!$A$6:$A$57,$A32,'Body Tracker'!$I$6:$I$57)</f>
        <v>0</v>
      </c>
    </row>
    <row r="33" spans="1:17" x14ac:dyDescent="0.2">
      <c r="A33" s="3">
        <v>32</v>
      </c>
      <c r="B33" s="3" t="s">
        <v>88</v>
      </c>
      <c r="C33" s="2">
        <f t="shared" si="1"/>
        <v>46306</v>
      </c>
      <c r="D33" s="2">
        <f t="shared" si="0"/>
        <v>46312</v>
      </c>
      <c r="E33" s="31">
        <f>SUMIF('Daily Plan'!$A$2:$A$365,$A33,'Daily Plan'!$E$2:$E$365)</f>
        <v>245</v>
      </c>
      <c r="F33" s="31">
        <f>SUMIF('Daily Plan'!$A$2:$A$365,$A33,'Daily Plan'!$H$2:$H$365)</f>
        <v>273</v>
      </c>
      <c r="G33" s="31">
        <f>SUMIF('Daily Plan'!$A$2:$A$365,$A33,'Daily Plan'!$S$2:$S$365)</f>
        <v>518</v>
      </c>
      <c r="H33" s="5">
        <f>SUMIF('Daily Plan'!$A$2:$A$365,$A33,'Daily Plan'!$I$2:$I$365)</f>
        <v>13.5</v>
      </c>
      <c r="I33" s="31">
        <f>SUMIF('Daily Plan'!$A$2:$A$365,$A33,'Daily Plan'!$M$2:$M$365)</f>
        <v>0</v>
      </c>
      <c r="J33" s="31">
        <f>SUMIF('Daily Plan'!$A$2:$A$365,$A33,'Daily Plan'!$N$2:$N$365)</f>
        <v>0</v>
      </c>
      <c r="K33" s="31">
        <f>SUMIF('Daily Plan'!$A$2:$A$365,$A33,'Daily Plan'!$T$2:$T$365)</f>
        <v>0</v>
      </c>
      <c r="L33" s="5">
        <f>SUMIF('Daily Plan'!$A$2:$A$365,$A33,'Daily Plan'!$O$2:$O$365)</f>
        <v>0</v>
      </c>
      <c r="M33" s="4">
        <f>SUMIF('Daily Plan'!$A$2:$A$365,$A33,'Daily Plan'!$R$2:$R$365)/7</f>
        <v>0.14285714285714285</v>
      </c>
      <c r="N33" s="5">
        <f>SUMIFS('Daily Plan'!$I$2:$I$365,'Daily Plan'!$A$2:$A$365,$A33,'Daily Plan'!$K$2:$K$365,"Long Run")</f>
        <v>8</v>
      </c>
      <c r="O33" s="5">
        <f>SUMIF('Body Tracker'!$A$6:$A$57,$A33,'Body Tracker'!$C$6:$C$57)</f>
        <v>0</v>
      </c>
      <c r="P33" s="5">
        <f>SUMIF('Body Tracker'!$A$6:$A$57,$A33,'Body Tracker'!$H$6:$H$57)</f>
        <v>0</v>
      </c>
      <c r="Q33" s="5">
        <f>SUMIF('Body Tracker'!$A$6:$A$57,$A33,'Body Tracker'!$I$6:$I$57)</f>
        <v>0</v>
      </c>
    </row>
    <row r="34" spans="1:17" x14ac:dyDescent="0.2">
      <c r="A34" s="25">
        <v>33</v>
      </c>
      <c r="B34" s="25" t="s">
        <v>88</v>
      </c>
      <c r="C34" s="26">
        <f t="shared" si="1"/>
        <v>46313</v>
      </c>
      <c r="D34" s="26">
        <f t="shared" ref="D34:D53" si="2">C34+6</f>
        <v>46319</v>
      </c>
      <c r="E34" s="27">
        <f>SUMIF('Daily Plan'!$A$2:$A$365,$A34,'Daily Plan'!$E$2:$E$365)</f>
        <v>220</v>
      </c>
      <c r="F34" s="27">
        <f>SUMIF('Daily Plan'!$A$2:$A$365,$A34,'Daily Plan'!$H$2:$H$365)</f>
        <v>355</v>
      </c>
      <c r="G34" s="27">
        <f>SUMIF('Daily Plan'!$A$2:$A$365,$A34,'Daily Plan'!$S$2:$S$365)</f>
        <v>575</v>
      </c>
      <c r="H34" s="28">
        <f>SUMIF('Daily Plan'!$A$2:$A$365,$A34,'Daily Plan'!$I$2:$I$365)</f>
        <v>19.5</v>
      </c>
      <c r="I34" s="27">
        <f>SUMIF('Daily Plan'!$A$2:$A$365,$A34,'Daily Plan'!$M$2:$M$365)</f>
        <v>0</v>
      </c>
      <c r="J34" s="27">
        <f>SUMIF('Daily Plan'!$A$2:$A$365,$A34,'Daily Plan'!$N$2:$N$365)</f>
        <v>0</v>
      </c>
      <c r="K34" s="27">
        <f>SUMIF('Daily Plan'!$A$2:$A$365,$A34,'Daily Plan'!$T$2:$T$365)</f>
        <v>0</v>
      </c>
      <c r="L34" s="28">
        <f>SUMIF('Daily Plan'!$A$2:$A$365,$A34,'Daily Plan'!$O$2:$O$365)</f>
        <v>0</v>
      </c>
      <c r="M34" s="32">
        <f>SUMIF('Daily Plan'!$A$2:$A$365,$A34,'Daily Plan'!$R$2:$R$365)/7</f>
        <v>0.14285714285714285</v>
      </c>
      <c r="N34" s="28">
        <f>SUMIFS('Daily Plan'!$I$2:$I$365,'Daily Plan'!$A$2:$A$365,$A34,'Daily Plan'!$K$2:$K$365,"Long Run")</f>
        <v>12</v>
      </c>
      <c r="O34" s="28">
        <f>SUMIF('Body Tracker'!$A$6:$A$57,$A34,'Body Tracker'!$C$6:$C$57)</f>
        <v>0</v>
      </c>
      <c r="P34" s="28">
        <f>SUMIF('Body Tracker'!$A$6:$A$57,$A34,'Body Tracker'!$H$6:$H$57)</f>
        <v>0</v>
      </c>
      <c r="Q34" s="28">
        <f>SUMIF('Body Tracker'!$A$6:$A$57,$A34,'Body Tracker'!$I$6:$I$57)</f>
        <v>0</v>
      </c>
    </row>
    <row r="35" spans="1:17" x14ac:dyDescent="0.2">
      <c r="A35" s="3">
        <v>34</v>
      </c>
      <c r="B35" s="3" t="s">
        <v>88</v>
      </c>
      <c r="C35" s="2">
        <f t="shared" ref="C35:C53" si="3">C34+7</f>
        <v>46320</v>
      </c>
      <c r="D35" s="2">
        <f t="shared" si="2"/>
        <v>46326</v>
      </c>
      <c r="E35" s="31">
        <f>SUMIF('Daily Plan'!$A$2:$A$365,$A35,'Daily Plan'!$E$2:$E$365)</f>
        <v>215</v>
      </c>
      <c r="F35" s="31">
        <f>SUMIF('Daily Plan'!$A$2:$A$365,$A35,'Daily Plan'!$H$2:$H$365)</f>
        <v>368</v>
      </c>
      <c r="G35" s="31">
        <f>SUMIF('Daily Plan'!$A$2:$A$365,$A35,'Daily Plan'!$S$2:$S$365)</f>
        <v>583</v>
      </c>
      <c r="H35" s="5">
        <f>SUMIF('Daily Plan'!$A$2:$A$365,$A35,'Daily Plan'!$I$2:$I$365)</f>
        <v>22.3</v>
      </c>
      <c r="I35" s="31">
        <f>SUMIF('Daily Plan'!$A$2:$A$365,$A35,'Daily Plan'!$M$2:$M$365)</f>
        <v>0</v>
      </c>
      <c r="J35" s="31">
        <f>SUMIF('Daily Plan'!$A$2:$A$365,$A35,'Daily Plan'!$N$2:$N$365)</f>
        <v>0</v>
      </c>
      <c r="K35" s="31">
        <f>SUMIF('Daily Plan'!$A$2:$A$365,$A35,'Daily Plan'!$T$2:$T$365)</f>
        <v>0</v>
      </c>
      <c r="L35" s="5">
        <f>SUMIF('Daily Plan'!$A$2:$A$365,$A35,'Daily Plan'!$O$2:$O$365)</f>
        <v>0</v>
      </c>
      <c r="M35" s="4">
        <f>SUMIF('Daily Plan'!$A$2:$A$365,$A35,'Daily Plan'!$R$2:$R$365)/7</f>
        <v>0.14285714285714285</v>
      </c>
      <c r="N35" s="5">
        <f>SUMIFS('Daily Plan'!$I$2:$I$365,'Daily Plan'!$A$2:$A$365,$A35,'Daily Plan'!$K$2:$K$365,"Long Run")</f>
        <v>13</v>
      </c>
      <c r="O35" s="5">
        <f>SUMIF('Body Tracker'!$A$6:$A$57,$A35,'Body Tracker'!$C$6:$C$57)</f>
        <v>0</v>
      </c>
      <c r="P35" s="5">
        <f>SUMIF('Body Tracker'!$A$6:$A$57,$A35,'Body Tracker'!$H$6:$H$57)</f>
        <v>0</v>
      </c>
      <c r="Q35" s="5">
        <f>SUMIF('Body Tracker'!$A$6:$A$57,$A35,'Body Tracker'!$I$6:$I$57)</f>
        <v>0</v>
      </c>
    </row>
    <row r="36" spans="1:17" x14ac:dyDescent="0.2">
      <c r="A36" s="25">
        <v>35</v>
      </c>
      <c r="B36" s="25" t="s">
        <v>88</v>
      </c>
      <c r="C36" s="26">
        <f t="shared" si="3"/>
        <v>46327</v>
      </c>
      <c r="D36" s="26">
        <f t="shared" si="2"/>
        <v>46333</v>
      </c>
      <c r="E36" s="27">
        <f>SUMIF('Daily Plan'!$A$2:$A$365,$A36,'Daily Plan'!$E$2:$E$365)</f>
        <v>190</v>
      </c>
      <c r="F36" s="27">
        <f>SUMIF('Daily Plan'!$A$2:$A$365,$A36,'Daily Plan'!$H$2:$H$365)</f>
        <v>309</v>
      </c>
      <c r="G36" s="27">
        <f>SUMIF('Daily Plan'!$A$2:$A$365,$A36,'Daily Plan'!$S$2:$S$365)</f>
        <v>499</v>
      </c>
      <c r="H36" s="28">
        <f>SUMIF('Daily Plan'!$A$2:$A$365,$A36,'Daily Plan'!$I$2:$I$365)</f>
        <v>18</v>
      </c>
      <c r="I36" s="27">
        <f>SUMIF('Daily Plan'!$A$2:$A$365,$A36,'Daily Plan'!$M$2:$M$365)</f>
        <v>0</v>
      </c>
      <c r="J36" s="27">
        <f>SUMIF('Daily Plan'!$A$2:$A$365,$A36,'Daily Plan'!$N$2:$N$365)</f>
        <v>0</v>
      </c>
      <c r="K36" s="27">
        <f>SUMIF('Daily Plan'!$A$2:$A$365,$A36,'Daily Plan'!$T$2:$T$365)</f>
        <v>0</v>
      </c>
      <c r="L36" s="28">
        <f>SUMIF('Daily Plan'!$A$2:$A$365,$A36,'Daily Plan'!$O$2:$O$365)</f>
        <v>0</v>
      </c>
      <c r="M36" s="32">
        <f>SUMIF('Daily Plan'!$A$2:$A$365,$A36,'Daily Plan'!$R$2:$R$365)/7</f>
        <v>0.14285714285714285</v>
      </c>
      <c r="N36" s="28">
        <f>SUMIFS('Daily Plan'!$I$2:$I$365,'Daily Plan'!$A$2:$A$365,$A36,'Daily Plan'!$K$2:$K$365,"Long Run")</f>
        <v>10</v>
      </c>
      <c r="O36" s="28">
        <f>SUMIF('Body Tracker'!$A$6:$A$57,$A36,'Body Tracker'!$C$6:$C$57)</f>
        <v>0</v>
      </c>
      <c r="P36" s="28">
        <f>SUMIF('Body Tracker'!$A$6:$A$57,$A36,'Body Tracker'!$H$6:$H$57)</f>
        <v>0</v>
      </c>
      <c r="Q36" s="28">
        <f>SUMIF('Body Tracker'!$A$6:$A$57,$A36,'Body Tracker'!$I$6:$I$57)</f>
        <v>0</v>
      </c>
    </row>
    <row r="37" spans="1:17" x14ac:dyDescent="0.2">
      <c r="A37" s="3">
        <v>36</v>
      </c>
      <c r="B37" s="3" t="s">
        <v>88</v>
      </c>
      <c r="C37" s="2">
        <f t="shared" si="3"/>
        <v>46334</v>
      </c>
      <c r="D37" s="2">
        <f t="shared" si="2"/>
        <v>46340</v>
      </c>
      <c r="E37" s="31">
        <f>SUMIF('Daily Plan'!$A$2:$A$365,$A37,'Daily Plan'!$E$2:$E$365)</f>
        <v>245</v>
      </c>
      <c r="F37" s="31">
        <f>SUMIF('Daily Plan'!$A$2:$A$365,$A37,'Daily Plan'!$H$2:$H$365)</f>
        <v>368</v>
      </c>
      <c r="G37" s="31">
        <f>SUMIF('Daily Plan'!$A$2:$A$365,$A37,'Daily Plan'!$S$2:$S$365)</f>
        <v>613</v>
      </c>
      <c r="H37" s="5">
        <f>SUMIF('Daily Plan'!$A$2:$A$365,$A37,'Daily Plan'!$I$2:$I$365)</f>
        <v>20.5</v>
      </c>
      <c r="I37" s="31">
        <f>SUMIF('Daily Plan'!$A$2:$A$365,$A37,'Daily Plan'!$M$2:$M$365)</f>
        <v>0</v>
      </c>
      <c r="J37" s="31">
        <f>SUMIF('Daily Plan'!$A$2:$A$365,$A37,'Daily Plan'!$N$2:$N$365)</f>
        <v>0</v>
      </c>
      <c r="K37" s="31">
        <f>SUMIF('Daily Plan'!$A$2:$A$365,$A37,'Daily Plan'!$T$2:$T$365)</f>
        <v>0</v>
      </c>
      <c r="L37" s="5">
        <f>SUMIF('Daily Plan'!$A$2:$A$365,$A37,'Daily Plan'!$O$2:$O$365)</f>
        <v>0</v>
      </c>
      <c r="M37" s="4">
        <f>SUMIF('Daily Plan'!$A$2:$A$365,$A37,'Daily Plan'!$R$2:$R$365)/7</f>
        <v>0.14285714285714285</v>
      </c>
      <c r="N37" s="5">
        <f>SUMIFS('Daily Plan'!$I$2:$I$365,'Daily Plan'!$A$2:$A$365,$A37,'Daily Plan'!$K$2:$K$365,"Long Run")</f>
        <v>13</v>
      </c>
      <c r="O37" s="5">
        <f>SUMIF('Body Tracker'!$A$6:$A$57,$A37,'Body Tracker'!$C$6:$C$57)</f>
        <v>0</v>
      </c>
      <c r="P37" s="5">
        <f>SUMIF('Body Tracker'!$A$6:$A$57,$A37,'Body Tracker'!$H$6:$H$57)</f>
        <v>0</v>
      </c>
      <c r="Q37" s="5">
        <f>SUMIF('Body Tracker'!$A$6:$A$57,$A37,'Body Tracker'!$I$6:$I$57)</f>
        <v>0</v>
      </c>
    </row>
    <row r="38" spans="1:17" x14ac:dyDescent="0.2">
      <c r="A38" s="25">
        <v>37</v>
      </c>
      <c r="B38" s="25" t="s">
        <v>92</v>
      </c>
      <c r="C38" s="26">
        <f t="shared" si="3"/>
        <v>46341</v>
      </c>
      <c r="D38" s="26">
        <f t="shared" si="2"/>
        <v>46347</v>
      </c>
      <c r="E38" s="27">
        <f>SUMIF('Daily Plan'!$A$2:$A$365,$A38,'Daily Plan'!$E$2:$E$365)</f>
        <v>215</v>
      </c>
      <c r="F38" s="27">
        <f>SUMIF('Daily Plan'!$A$2:$A$365,$A38,'Daily Plan'!$H$2:$H$365)</f>
        <v>381</v>
      </c>
      <c r="G38" s="27">
        <f>SUMIF('Daily Plan'!$A$2:$A$365,$A38,'Daily Plan'!$S$2:$S$365)</f>
        <v>596</v>
      </c>
      <c r="H38" s="28">
        <f>SUMIF('Daily Plan'!$A$2:$A$365,$A38,'Daily Plan'!$I$2:$I$365)</f>
        <v>21.5</v>
      </c>
      <c r="I38" s="27">
        <f>SUMIF('Daily Plan'!$A$2:$A$365,$A38,'Daily Plan'!$M$2:$M$365)</f>
        <v>0</v>
      </c>
      <c r="J38" s="27">
        <f>SUMIF('Daily Plan'!$A$2:$A$365,$A38,'Daily Plan'!$N$2:$N$365)</f>
        <v>0</v>
      </c>
      <c r="K38" s="27">
        <f>SUMIF('Daily Plan'!$A$2:$A$365,$A38,'Daily Plan'!$T$2:$T$365)</f>
        <v>0</v>
      </c>
      <c r="L38" s="28">
        <f>SUMIF('Daily Plan'!$A$2:$A$365,$A38,'Daily Plan'!$O$2:$O$365)</f>
        <v>0</v>
      </c>
      <c r="M38" s="32">
        <f>SUMIF('Daily Plan'!$A$2:$A$365,$A38,'Daily Plan'!$R$2:$R$365)/7</f>
        <v>0.14285714285714285</v>
      </c>
      <c r="N38" s="28">
        <f>SUMIFS('Daily Plan'!$I$2:$I$365,'Daily Plan'!$A$2:$A$365,$A38,'Daily Plan'!$K$2:$K$365,"Long Run")</f>
        <v>14</v>
      </c>
      <c r="O38" s="28">
        <f>SUMIF('Body Tracker'!$A$6:$A$57,$A38,'Body Tracker'!$C$6:$C$57)</f>
        <v>0</v>
      </c>
      <c r="P38" s="28">
        <f>SUMIF('Body Tracker'!$A$6:$A$57,$A38,'Body Tracker'!$H$6:$H$57)</f>
        <v>0</v>
      </c>
      <c r="Q38" s="28">
        <f>SUMIF('Body Tracker'!$A$6:$A$57,$A38,'Body Tracker'!$I$6:$I$57)</f>
        <v>0</v>
      </c>
    </row>
    <row r="39" spans="1:17" x14ac:dyDescent="0.2">
      <c r="A39" s="3">
        <v>38</v>
      </c>
      <c r="B39" s="3" t="s">
        <v>92</v>
      </c>
      <c r="C39" s="2">
        <f t="shared" si="3"/>
        <v>46348</v>
      </c>
      <c r="D39" s="2">
        <f t="shared" si="2"/>
        <v>46354</v>
      </c>
      <c r="E39" s="31">
        <f>SUMIF('Daily Plan'!$A$2:$A$365,$A39,'Daily Plan'!$E$2:$E$365)</f>
        <v>210</v>
      </c>
      <c r="F39" s="31">
        <f>SUMIF('Daily Plan'!$A$2:$A$365,$A39,'Daily Plan'!$H$2:$H$365)</f>
        <v>395</v>
      </c>
      <c r="G39" s="31">
        <f>SUMIF('Daily Plan'!$A$2:$A$365,$A39,'Daily Plan'!$S$2:$S$365)</f>
        <v>605</v>
      </c>
      <c r="H39" s="5">
        <f>SUMIF('Daily Plan'!$A$2:$A$365,$A39,'Daily Plan'!$I$2:$I$365)</f>
        <v>24.3</v>
      </c>
      <c r="I39" s="31">
        <f>SUMIF('Daily Plan'!$A$2:$A$365,$A39,'Daily Plan'!$M$2:$M$365)</f>
        <v>0</v>
      </c>
      <c r="J39" s="31">
        <f>SUMIF('Daily Plan'!$A$2:$A$365,$A39,'Daily Plan'!$N$2:$N$365)</f>
        <v>0</v>
      </c>
      <c r="K39" s="31">
        <f>SUMIF('Daily Plan'!$A$2:$A$365,$A39,'Daily Plan'!$T$2:$T$365)</f>
        <v>0</v>
      </c>
      <c r="L39" s="5">
        <f>SUMIF('Daily Plan'!$A$2:$A$365,$A39,'Daily Plan'!$O$2:$O$365)</f>
        <v>0</v>
      </c>
      <c r="M39" s="4">
        <f>SUMIF('Daily Plan'!$A$2:$A$365,$A39,'Daily Plan'!$R$2:$R$365)/7</f>
        <v>0.14285714285714285</v>
      </c>
      <c r="N39" s="5">
        <f>SUMIFS('Daily Plan'!$I$2:$I$365,'Daily Plan'!$A$2:$A$365,$A39,'Daily Plan'!$K$2:$K$365,"Long Run")</f>
        <v>15</v>
      </c>
      <c r="O39" s="5">
        <f>SUMIF('Body Tracker'!$A$6:$A$57,$A39,'Body Tracker'!$C$6:$C$57)</f>
        <v>0</v>
      </c>
      <c r="P39" s="5">
        <f>SUMIF('Body Tracker'!$A$6:$A$57,$A39,'Body Tracker'!$H$6:$H$57)</f>
        <v>0</v>
      </c>
      <c r="Q39" s="5">
        <f>SUMIF('Body Tracker'!$A$6:$A$57,$A39,'Body Tracker'!$I$6:$I$57)</f>
        <v>0</v>
      </c>
    </row>
    <row r="40" spans="1:17" x14ac:dyDescent="0.2">
      <c r="A40" s="25">
        <v>39</v>
      </c>
      <c r="B40" s="25" t="s">
        <v>92</v>
      </c>
      <c r="C40" s="26">
        <f t="shared" si="3"/>
        <v>46355</v>
      </c>
      <c r="D40" s="26">
        <f t="shared" si="2"/>
        <v>46361</v>
      </c>
      <c r="E40" s="27">
        <f>SUMIF('Daily Plan'!$A$2:$A$365,$A40,'Daily Plan'!$E$2:$E$365)</f>
        <v>185</v>
      </c>
      <c r="F40" s="27">
        <f>SUMIF('Daily Plan'!$A$2:$A$365,$A40,'Daily Plan'!$H$2:$H$365)</f>
        <v>417</v>
      </c>
      <c r="G40" s="27">
        <f>SUMIF('Daily Plan'!$A$2:$A$365,$A40,'Daily Plan'!$S$2:$S$365)</f>
        <v>602</v>
      </c>
      <c r="H40" s="28">
        <f>SUMIF('Daily Plan'!$A$2:$A$365,$A40,'Daily Plan'!$I$2:$I$365)</f>
        <v>26</v>
      </c>
      <c r="I40" s="27">
        <f>SUMIF('Daily Plan'!$A$2:$A$365,$A40,'Daily Plan'!$M$2:$M$365)</f>
        <v>0</v>
      </c>
      <c r="J40" s="27">
        <f>SUMIF('Daily Plan'!$A$2:$A$365,$A40,'Daily Plan'!$N$2:$N$365)</f>
        <v>0</v>
      </c>
      <c r="K40" s="27">
        <f>SUMIF('Daily Plan'!$A$2:$A$365,$A40,'Daily Plan'!$T$2:$T$365)</f>
        <v>0</v>
      </c>
      <c r="L40" s="28">
        <f>SUMIF('Daily Plan'!$A$2:$A$365,$A40,'Daily Plan'!$O$2:$O$365)</f>
        <v>0</v>
      </c>
      <c r="M40" s="32">
        <f>SUMIF('Daily Plan'!$A$2:$A$365,$A40,'Daily Plan'!$R$2:$R$365)/7</f>
        <v>0.14285714285714285</v>
      </c>
      <c r="N40" s="28">
        <f>SUMIFS('Daily Plan'!$I$2:$I$365,'Daily Plan'!$A$2:$A$365,$A40,'Daily Plan'!$K$2:$K$365,"Long Run")</f>
        <v>16</v>
      </c>
      <c r="O40" s="28">
        <f>SUMIF('Body Tracker'!$A$6:$A$57,$A40,'Body Tracker'!$C$6:$C$57)</f>
        <v>0</v>
      </c>
      <c r="P40" s="28">
        <f>SUMIF('Body Tracker'!$A$6:$A$57,$A40,'Body Tracker'!$H$6:$H$57)</f>
        <v>0</v>
      </c>
      <c r="Q40" s="28">
        <f>SUMIF('Body Tracker'!$A$6:$A$57,$A40,'Body Tracker'!$I$6:$I$57)</f>
        <v>0</v>
      </c>
    </row>
    <row r="41" spans="1:17" x14ac:dyDescent="0.2">
      <c r="A41" s="3">
        <v>40</v>
      </c>
      <c r="B41" s="3" t="s">
        <v>92</v>
      </c>
      <c r="C41" s="2">
        <f t="shared" si="3"/>
        <v>46362</v>
      </c>
      <c r="D41" s="2">
        <f t="shared" si="2"/>
        <v>46368</v>
      </c>
      <c r="E41" s="31">
        <f>SUMIF('Daily Plan'!$A$2:$A$365,$A41,'Daily Plan'!$E$2:$E$365)</f>
        <v>240</v>
      </c>
      <c r="F41" s="31">
        <f>SUMIF('Daily Plan'!$A$2:$A$365,$A41,'Daily Plan'!$H$2:$H$365)</f>
        <v>341</v>
      </c>
      <c r="G41" s="31">
        <f>SUMIF('Daily Plan'!$A$2:$A$365,$A41,'Daily Plan'!$S$2:$S$365)</f>
        <v>581</v>
      </c>
      <c r="H41" s="5">
        <f>SUMIF('Daily Plan'!$A$2:$A$365,$A41,'Daily Plan'!$I$2:$I$365)</f>
        <v>18.5</v>
      </c>
      <c r="I41" s="31">
        <f>SUMIF('Daily Plan'!$A$2:$A$365,$A41,'Daily Plan'!$M$2:$M$365)</f>
        <v>0</v>
      </c>
      <c r="J41" s="31">
        <f>SUMIF('Daily Plan'!$A$2:$A$365,$A41,'Daily Plan'!$N$2:$N$365)</f>
        <v>0</v>
      </c>
      <c r="K41" s="31">
        <f>SUMIF('Daily Plan'!$A$2:$A$365,$A41,'Daily Plan'!$T$2:$T$365)</f>
        <v>0</v>
      </c>
      <c r="L41" s="5">
        <f>SUMIF('Daily Plan'!$A$2:$A$365,$A41,'Daily Plan'!$O$2:$O$365)</f>
        <v>0</v>
      </c>
      <c r="M41" s="4">
        <f>SUMIF('Daily Plan'!$A$2:$A$365,$A41,'Daily Plan'!$R$2:$R$365)/7</f>
        <v>0.14285714285714285</v>
      </c>
      <c r="N41" s="5">
        <f>SUMIFS('Daily Plan'!$I$2:$I$365,'Daily Plan'!$A$2:$A$365,$A41,'Daily Plan'!$K$2:$K$365,"Long Run")</f>
        <v>12</v>
      </c>
      <c r="O41" s="5">
        <f>SUMIF('Body Tracker'!$A$6:$A$57,$A41,'Body Tracker'!$C$6:$C$57)</f>
        <v>0</v>
      </c>
      <c r="P41" s="5">
        <f>SUMIF('Body Tracker'!$A$6:$A$57,$A41,'Body Tracker'!$H$6:$H$57)</f>
        <v>0</v>
      </c>
      <c r="Q41" s="5">
        <f>SUMIF('Body Tracker'!$A$6:$A$57,$A41,'Body Tracker'!$I$6:$I$57)</f>
        <v>0</v>
      </c>
    </row>
    <row r="42" spans="1:17" x14ac:dyDescent="0.2">
      <c r="A42" s="25">
        <v>41</v>
      </c>
      <c r="B42" s="25" t="s">
        <v>92</v>
      </c>
      <c r="C42" s="26">
        <f t="shared" si="3"/>
        <v>46369</v>
      </c>
      <c r="D42" s="26">
        <f t="shared" si="2"/>
        <v>46375</v>
      </c>
      <c r="E42" s="27">
        <f>SUMIF('Daily Plan'!$A$2:$A$365,$A42,'Daily Plan'!$E$2:$E$365)</f>
        <v>215</v>
      </c>
      <c r="F42" s="27">
        <f>SUMIF('Daily Plan'!$A$2:$A$365,$A42,'Daily Plan'!$H$2:$H$365)</f>
        <v>409</v>
      </c>
      <c r="G42" s="27">
        <f>SUMIF('Daily Plan'!$A$2:$A$365,$A42,'Daily Plan'!$S$2:$S$365)</f>
        <v>624</v>
      </c>
      <c r="H42" s="28">
        <f>SUMIF('Daily Plan'!$A$2:$A$365,$A42,'Daily Plan'!$I$2:$I$365)</f>
        <v>23.5</v>
      </c>
      <c r="I42" s="27">
        <f>SUMIF('Daily Plan'!$A$2:$A$365,$A42,'Daily Plan'!$M$2:$M$365)</f>
        <v>0</v>
      </c>
      <c r="J42" s="27">
        <f>SUMIF('Daily Plan'!$A$2:$A$365,$A42,'Daily Plan'!$N$2:$N$365)</f>
        <v>0</v>
      </c>
      <c r="K42" s="27">
        <f>SUMIF('Daily Plan'!$A$2:$A$365,$A42,'Daily Plan'!$T$2:$T$365)</f>
        <v>0</v>
      </c>
      <c r="L42" s="28">
        <f>SUMIF('Daily Plan'!$A$2:$A$365,$A42,'Daily Plan'!$O$2:$O$365)</f>
        <v>0</v>
      </c>
      <c r="M42" s="32">
        <f>SUMIF('Daily Plan'!$A$2:$A$365,$A42,'Daily Plan'!$R$2:$R$365)/7</f>
        <v>0.14285714285714285</v>
      </c>
      <c r="N42" s="28">
        <f>SUMIFS('Daily Plan'!$I$2:$I$365,'Daily Plan'!$A$2:$A$365,$A42,'Daily Plan'!$K$2:$K$365,"Long Run")</f>
        <v>16</v>
      </c>
      <c r="O42" s="28">
        <f>SUMIF('Body Tracker'!$A$6:$A$57,$A42,'Body Tracker'!$C$6:$C$57)</f>
        <v>0</v>
      </c>
      <c r="P42" s="28">
        <f>SUMIF('Body Tracker'!$A$6:$A$57,$A42,'Body Tracker'!$H$6:$H$57)</f>
        <v>0</v>
      </c>
      <c r="Q42" s="28">
        <f>SUMIF('Body Tracker'!$A$6:$A$57,$A42,'Body Tracker'!$I$6:$I$57)</f>
        <v>0</v>
      </c>
    </row>
    <row r="43" spans="1:17" x14ac:dyDescent="0.2">
      <c r="A43" s="3">
        <v>42</v>
      </c>
      <c r="B43" s="3" t="s">
        <v>92</v>
      </c>
      <c r="C43" s="2">
        <f t="shared" si="3"/>
        <v>46376</v>
      </c>
      <c r="D43" s="2">
        <f t="shared" si="2"/>
        <v>46382</v>
      </c>
      <c r="E43" s="31">
        <f>SUMIF('Daily Plan'!$A$2:$A$365,$A43,'Daily Plan'!$E$2:$E$365)</f>
        <v>210</v>
      </c>
      <c r="F43" s="31">
        <f>SUMIF('Daily Plan'!$A$2:$A$365,$A43,'Daily Plan'!$H$2:$H$365)</f>
        <v>449</v>
      </c>
      <c r="G43" s="31">
        <f>SUMIF('Daily Plan'!$A$2:$A$365,$A43,'Daily Plan'!$S$2:$S$365)</f>
        <v>659</v>
      </c>
      <c r="H43" s="5">
        <f>SUMIF('Daily Plan'!$A$2:$A$365,$A43,'Daily Plan'!$I$2:$I$365)</f>
        <v>28.3</v>
      </c>
      <c r="I43" s="31">
        <f>SUMIF('Daily Plan'!$A$2:$A$365,$A43,'Daily Plan'!$M$2:$M$365)</f>
        <v>0</v>
      </c>
      <c r="J43" s="31">
        <f>SUMIF('Daily Plan'!$A$2:$A$365,$A43,'Daily Plan'!$N$2:$N$365)</f>
        <v>0</v>
      </c>
      <c r="K43" s="31">
        <f>SUMIF('Daily Plan'!$A$2:$A$365,$A43,'Daily Plan'!$T$2:$T$365)</f>
        <v>0</v>
      </c>
      <c r="L43" s="5">
        <f>SUMIF('Daily Plan'!$A$2:$A$365,$A43,'Daily Plan'!$O$2:$O$365)</f>
        <v>0</v>
      </c>
      <c r="M43" s="4">
        <f>SUMIF('Daily Plan'!$A$2:$A$365,$A43,'Daily Plan'!$R$2:$R$365)/7</f>
        <v>0.14285714285714285</v>
      </c>
      <c r="N43" s="5">
        <f>SUMIFS('Daily Plan'!$I$2:$I$365,'Daily Plan'!$A$2:$A$365,$A43,'Daily Plan'!$K$2:$K$365,"Long Run")</f>
        <v>18</v>
      </c>
      <c r="O43" s="5">
        <f>SUMIF('Body Tracker'!$A$6:$A$57,$A43,'Body Tracker'!$C$6:$C$57)</f>
        <v>0</v>
      </c>
      <c r="P43" s="5">
        <f>SUMIF('Body Tracker'!$A$6:$A$57,$A43,'Body Tracker'!$H$6:$H$57)</f>
        <v>0</v>
      </c>
      <c r="Q43" s="5">
        <f>SUMIF('Body Tracker'!$A$6:$A$57,$A43,'Body Tracker'!$I$6:$I$57)</f>
        <v>0</v>
      </c>
    </row>
    <row r="44" spans="1:17" x14ac:dyDescent="0.2">
      <c r="A44" s="25">
        <v>43</v>
      </c>
      <c r="B44" s="25" t="s">
        <v>92</v>
      </c>
      <c r="C44" s="26">
        <f t="shared" si="3"/>
        <v>46383</v>
      </c>
      <c r="D44" s="26">
        <f t="shared" si="2"/>
        <v>46389</v>
      </c>
      <c r="E44" s="27">
        <f>SUMIF('Daily Plan'!$A$2:$A$365,$A44,'Daily Plan'!$E$2:$E$365)</f>
        <v>185</v>
      </c>
      <c r="F44" s="27">
        <f>SUMIF('Daily Plan'!$A$2:$A$365,$A44,'Daily Plan'!$H$2:$H$365)</f>
        <v>376</v>
      </c>
      <c r="G44" s="27">
        <f>SUMIF('Daily Plan'!$A$2:$A$365,$A44,'Daily Plan'!$S$2:$S$365)</f>
        <v>561</v>
      </c>
      <c r="H44" s="28">
        <f>SUMIF('Daily Plan'!$A$2:$A$365,$A44,'Daily Plan'!$I$2:$I$365)</f>
        <v>23</v>
      </c>
      <c r="I44" s="27">
        <f>SUMIF('Daily Plan'!$A$2:$A$365,$A44,'Daily Plan'!$M$2:$M$365)</f>
        <v>0</v>
      </c>
      <c r="J44" s="27">
        <f>SUMIF('Daily Plan'!$A$2:$A$365,$A44,'Daily Plan'!$N$2:$N$365)</f>
        <v>0</v>
      </c>
      <c r="K44" s="27">
        <f>SUMIF('Daily Plan'!$A$2:$A$365,$A44,'Daily Plan'!$T$2:$T$365)</f>
        <v>0</v>
      </c>
      <c r="L44" s="28">
        <f>SUMIF('Daily Plan'!$A$2:$A$365,$A44,'Daily Plan'!$O$2:$O$365)</f>
        <v>0</v>
      </c>
      <c r="M44" s="32">
        <f>SUMIF('Daily Plan'!$A$2:$A$365,$A44,'Daily Plan'!$R$2:$R$365)/7</f>
        <v>0.14285714285714285</v>
      </c>
      <c r="N44" s="28">
        <f>SUMIFS('Daily Plan'!$I$2:$I$365,'Daily Plan'!$A$2:$A$365,$A44,'Daily Plan'!$K$2:$K$365,"Long Run")</f>
        <v>14</v>
      </c>
      <c r="O44" s="28">
        <f>SUMIF('Body Tracker'!$A$6:$A$57,$A44,'Body Tracker'!$C$6:$C$57)</f>
        <v>0</v>
      </c>
      <c r="P44" s="28">
        <f>SUMIF('Body Tracker'!$A$6:$A$57,$A44,'Body Tracker'!$H$6:$H$57)</f>
        <v>0</v>
      </c>
      <c r="Q44" s="28">
        <f>SUMIF('Body Tracker'!$A$6:$A$57,$A44,'Body Tracker'!$I$6:$I$57)</f>
        <v>0</v>
      </c>
    </row>
    <row r="45" spans="1:17" x14ac:dyDescent="0.2">
      <c r="A45" s="3">
        <v>44</v>
      </c>
      <c r="B45" s="3" t="s">
        <v>92</v>
      </c>
      <c r="C45" s="2">
        <f t="shared" si="3"/>
        <v>46390</v>
      </c>
      <c r="D45" s="2">
        <f t="shared" si="2"/>
        <v>46396</v>
      </c>
      <c r="E45" s="31">
        <f>SUMIF('Daily Plan'!$A$2:$A$365,$A45,'Daily Plan'!$E$2:$E$365)</f>
        <v>240</v>
      </c>
      <c r="F45" s="31">
        <f>SUMIF('Daily Plan'!$A$2:$A$365,$A45,'Daily Plan'!$H$2:$H$365)</f>
        <v>449</v>
      </c>
      <c r="G45" s="31">
        <f>SUMIF('Daily Plan'!$A$2:$A$365,$A45,'Daily Plan'!$S$2:$S$365)</f>
        <v>689</v>
      </c>
      <c r="H45" s="5">
        <f>SUMIF('Daily Plan'!$A$2:$A$365,$A45,'Daily Plan'!$I$2:$I$365)</f>
        <v>26.5</v>
      </c>
      <c r="I45" s="31">
        <f>SUMIF('Daily Plan'!$A$2:$A$365,$A45,'Daily Plan'!$M$2:$M$365)</f>
        <v>0</v>
      </c>
      <c r="J45" s="31">
        <f>SUMIF('Daily Plan'!$A$2:$A$365,$A45,'Daily Plan'!$N$2:$N$365)</f>
        <v>0</v>
      </c>
      <c r="K45" s="31">
        <f>SUMIF('Daily Plan'!$A$2:$A$365,$A45,'Daily Plan'!$T$2:$T$365)</f>
        <v>0</v>
      </c>
      <c r="L45" s="5">
        <f>SUMIF('Daily Plan'!$A$2:$A$365,$A45,'Daily Plan'!$O$2:$O$365)</f>
        <v>0</v>
      </c>
      <c r="M45" s="4">
        <f>SUMIF('Daily Plan'!$A$2:$A$365,$A45,'Daily Plan'!$R$2:$R$365)/7</f>
        <v>0.14285714285714285</v>
      </c>
      <c r="N45" s="5">
        <f>SUMIFS('Daily Plan'!$I$2:$I$365,'Daily Plan'!$A$2:$A$365,$A45,'Daily Plan'!$K$2:$K$365,"Long Run")</f>
        <v>18</v>
      </c>
      <c r="O45" s="5">
        <f>SUMIF('Body Tracker'!$A$6:$A$57,$A45,'Body Tracker'!$C$6:$C$57)</f>
        <v>0</v>
      </c>
      <c r="P45" s="5">
        <f>SUMIF('Body Tracker'!$A$6:$A$57,$A45,'Body Tracker'!$H$6:$H$57)</f>
        <v>0</v>
      </c>
      <c r="Q45" s="5">
        <f>SUMIF('Body Tracker'!$A$6:$A$57,$A45,'Body Tracker'!$I$6:$I$57)</f>
        <v>0</v>
      </c>
    </row>
    <row r="46" spans="1:17" x14ac:dyDescent="0.2">
      <c r="A46" s="25">
        <v>45</v>
      </c>
      <c r="B46" s="25" t="s">
        <v>92</v>
      </c>
      <c r="C46" s="26">
        <f t="shared" si="3"/>
        <v>46397</v>
      </c>
      <c r="D46" s="26">
        <f t="shared" si="2"/>
        <v>46403</v>
      </c>
      <c r="E46" s="27">
        <f>SUMIF('Daily Plan'!$A$2:$A$365,$A46,'Daily Plan'!$E$2:$E$365)</f>
        <v>215</v>
      </c>
      <c r="F46" s="27">
        <f>SUMIF('Daily Plan'!$A$2:$A$365,$A46,'Daily Plan'!$H$2:$H$365)</f>
        <v>477</v>
      </c>
      <c r="G46" s="27">
        <f>SUMIF('Daily Plan'!$A$2:$A$365,$A46,'Daily Plan'!$S$2:$S$365)</f>
        <v>692</v>
      </c>
      <c r="H46" s="28">
        <f>SUMIF('Daily Plan'!$A$2:$A$365,$A46,'Daily Plan'!$I$2:$I$365)</f>
        <v>28.5</v>
      </c>
      <c r="I46" s="27">
        <f>SUMIF('Daily Plan'!$A$2:$A$365,$A46,'Daily Plan'!$M$2:$M$365)</f>
        <v>0</v>
      </c>
      <c r="J46" s="27">
        <f>SUMIF('Daily Plan'!$A$2:$A$365,$A46,'Daily Plan'!$N$2:$N$365)</f>
        <v>0</v>
      </c>
      <c r="K46" s="27">
        <f>SUMIF('Daily Plan'!$A$2:$A$365,$A46,'Daily Plan'!$T$2:$T$365)</f>
        <v>0</v>
      </c>
      <c r="L46" s="28">
        <f>SUMIF('Daily Plan'!$A$2:$A$365,$A46,'Daily Plan'!$O$2:$O$365)</f>
        <v>0</v>
      </c>
      <c r="M46" s="32">
        <f>SUMIF('Daily Plan'!$A$2:$A$365,$A46,'Daily Plan'!$R$2:$R$365)/7</f>
        <v>0.14285714285714285</v>
      </c>
      <c r="N46" s="28">
        <f>SUMIFS('Daily Plan'!$I$2:$I$365,'Daily Plan'!$A$2:$A$365,$A46,'Daily Plan'!$K$2:$K$365,"Long Run")</f>
        <v>20</v>
      </c>
      <c r="O46" s="28">
        <f>SUMIF('Body Tracker'!$A$6:$A$57,$A46,'Body Tracker'!$C$6:$C$57)</f>
        <v>0</v>
      </c>
      <c r="P46" s="28">
        <f>SUMIF('Body Tracker'!$A$6:$A$57,$A46,'Body Tracker'!$H$6:$H$57)</f>
        <v>0</v>
      </c>
      <c r="Q46" s="28">
        <f>SUMIF('Body Tracker'!$A$6:$A$57,$A46,'Body Tracker'!$I$6:$I$57)</f>
        <v>0</v>
      </c>
    </row>
    <row r="47" spans="1:17" x14ac:dyDescent="0.2">
      <c r="A47" s="3">
        <v>46</v>
      </c>
      <c r="B47" s="3" t="s">
        <v>92</v>
      </c>
      <c r="C47" s="2">
        <f t="shared" si="3"/>
        <v>46404</v>
      </c>
      <c r="D47" s="2">
        <f t="shared" si="2"/>
        <v>46410</v>
      </c>
      <c r="E47" s="31">
        <f>SUMIF('Daily Plan'!$A$2:$A$365,$A47,'Daily Plan'!$E$2:$E$365)</f>
        <v>210</v>
      </c>
      <c r="F47" s="31">
        <f>SUMIF('Daily Plan'!$A$2:$A$365,$A47,'Daily Plan'!$H$2:$H$365)</f>
        <v>368</v>
      </c>
      <c r="G47" s="31">
        <f>SUMIF('Daily Plan'!$A$2:$A$365,$A47,'Daily Plan'!$S$2:$S$365)</f>
        <v>578</v>
      </c>
      <c r="H47" s="5">
        <f>SUMIF('Daily Plan'!$A$2:$A$365,$A47,'Daily Plan'!$I$2:$I$365)</f>
        <v>22.3</v>
      </c>
      <c r="I47" s="31">
        <f>SUMIF('Daily Plan'!$A$2:$A$365,$A47,'Daily Plan'!$M$2:$M$365)</f>
        <v>0</v>
      </c>
      <c r="J47" s="31">
        <f>SUMIF('Daily Plan'!$A$2:$A$365,$A47,'Daily Plan'!$N$2:$N$365)</f>
        <v>0</v>
      </c>
      <c r="K47" s="31">
        <f>SUMIF('Daily Plan'!$A$2:$A$365,$A47,'Daily Plan'!$T$2:$T$365)</f>
        <v>0</v>
      </c>
      <c r="L47" s="5">
        <f>SUMIF('Daily Plan'!$A$2:$A$365,$A47,'Daily Plan'!$O$2:$O$365)</f>
        <v>0</v>
      </c>
      <c r="M47" s="4">
        <f>SUMIF('Daily Plan'!$A$2:$A$365,$A47,'Daily Plan'!$R$2:$R$365)/7</f>
        <v>0.14285714285714285</v>
      </c>
      <c r="N47" s="5">
        <f>SUMIFS('Daily Plan'!$I$2:$I$365,'Daily Plan'!$A$2:$A$365,$A47,'Daily Plan'!$K$2:$K$365,"Long Run")</f>
        <v>14</v>
      </c>
      <c r="O47" s="5">
        <f>SUMIF('Body Tracker'!$A$6:$A$57,$A47,'Body Tracker'!$C$6:$C$57)</f>
        <v>0</v>
      </c>
      <c r="P47" s="5">
        <f>SUMIF('Body Tracker'!$A$6:$A$57,$A47,'Body Tracker'!$H$6:$H$57)</f>
        <v>0</v>
      </c>
      <c r="Q47" s="5">
        <f>SUMIF('Body Tracker'!$A$6:$A$57,$A47,'Body Tracker'!$I$6:$I$57)</f>
        <v>0</v>
      </c>
    </row>
    <row r="48" spans="1:17" x14ac:dyDescent="0.2">
      <c r="A48" s="25">
        <v>47</v>
      </c>
      <c r="B48" s="25" t="s">
        <v>92</v>
      </c>
      <c r="C48" s="26">
        <f t="shared" si="3"/>
        <v>46411</v>
      </c>
      <c r="D48" s="26">
        <f t="shared" si="2"/>
        <v>46417</v>
      </c>
      <c r="E48" s="27">
        <f>SUMIF('Daily Plan'!$A$2:$A$365,$A48,'Daily Plan'!$E$2:$E$365)</f>
        <v>185</v>
      </c>
      <c r="F48" s="27">
        <f>SUMIF('Daily Plan'!$A$2:$A$365,$A48,'Daily Plan'!$H$2:$H$365)</f>
        <v>308</v>
      </c>
      <c r="G48" s="27">
        <f>SUMIF('Daily Plan'!$A$2:$A$365,$A48,'Daily Plan'!$S$2:$S$365)</f>
        <v>493</v>
      </c>
      <c r="H48" s="28">
        <f>SUMIF('Daily Plan'!$A$2:$A$365,$A48,'Daily Plan'!$I$2:$I$365)</f>
        <v>18</v>
      </c>
      <c r="I48" s="27">
        <f>SUMIF('Daily Plan'!$A$2:$A$365,$A48,'Daily Plan'!$M$2:$M$365)</f>
        <v>0</v>
      </c>
      <c r="J48" s="27">
        <f>SUMIF('Daily Plan'!$A$2:$A$365,$A48,'Daily Plan'!$N$2:$N$365)</f>
        <v>0</v>
      </c>
      <c r="K48" s="27">
        <f>SUMIF('Daily Plan'!$A$2:$A$365,$A48,'Daily Plan'!$T$2:$T$365)</f>
        <v>0</v>
      </c>
      <c r="L48" s="28">
        <f>SUMIF('Daily Plan'!$A$2:$A$365,$A48,'Daily Plan'!$O$2:$O$365)</f>
        <v>0</v>
      </c>
      <c r="M48" s="32">
        <f>SUMIF('Daily Plan'!$A$2:$A$365,$A48,'Daily Plan'!$R$2:$R$365)/7</f>
        <v>0.14285714285714285</v>
      </c>
      <c r="N48" s="28">
        <f>SUMIFS('Daily Plan'!$I$2:$I$365,'Daily Plan'!$A$2:$A$365,$A48,'Daily Plan'!$K$2:$K$365,"Long Run")</f>
        <v>10</v>
      </c>
      <c r="O48" s="28">
        <f>SUMIF('Body Tracker'!$A$6:$A$57,$A48,'Body Tracker'!$C$6:$C$57)</f>
        <v>0</v>
      </c>
      <c r="P48" s="28">
        <f>SUMIF('Body Tracker'!$A$6:$A$57,$A48,'Body Tracker'!$H$6:$H$57)</f>
        <v>0</v>
      </c>
      <c r="Q48" s="28">
        <f>SUMIF('Body Tracker'!$A$6:$A$57,$A48,'Body Tracker'!$I$6:$I$57)</f>
        <v>0</v>
      </c>
    </row>
    <row r="49" spans="1:17" x14ac:dyDescent="0.2">
      <c r="A49" s="3">
        <v>48</v>
      </c>
      <c r="B49" s="3" t="s">
        <v>92</v>
      </c>
      <c r="C49" s="2">
        <f t="shared" si="3"/>
        <v>46418</v>
      </c>
      <c r="D49" s="2">
        <f t="shared" si="2"/>
        <v>46424</v>
      </c>
      <c r="E49" s="31">
        <f>SUMIF('Daily Plan'!$A$2:$A$365,$A49,'Daily Plan'!$E$2:$E$365)</f>
        <v>240</v>
      </c>
      <c r="F49" s="31">
        <f>SUMIF('Daily Plan'!$A$2:$A$365,$A49,'Daily Plan'!$H$2:$H$365)</f>
        <v>272</v>
      </c>
      <c r="G49" s="31">
        <f>SUMIF('Daily Plan'!$A$2:$A$365,$A49,'Daily Plan'!$S$2:$S$365)</f>
        <v>512</v>
      </c>
      <c r="H49" s="5">
        <f>SUMIF('Daily Plan'!$A$2:$A$365,$A49,'Daily Plan'!$I$2:$I$365)</f>
        <v>13.5</v>
      </c>
      <c r="I49" s="31">
        <f>SUMIF('Daily Plan'!$A$2:$A$365,$A49,'Daily Plan'!$M$2:$M$365)</f>
        <v>0</v>
      </c>
      <c r="J49" s="31">
        <f>SUMIF('Daily Plan'!$A$2:$A$365,$A49,'Daily Plan'!$N$2:$N$365)</f>
        <v>0</v>
      </c>
      <c r="K49" s="31">
        <f>SUMIF('Daily Plan'!$A$2:$A$365,$A49,'Daily Plan'!$T$2:$T$365)</f>
        <v>0</v>
      </c>
      <c r="L49" s="5">
        <f>SUMIF('Daily Plan'!$A$2:$A$365,$A49,'Daily Plan'!$O$2:$O$365)</f>
        <v>0</v>
      </c>
      <c r="M49" s="4">
        <f>SUMIF('Daily Plan'!$A$2:$A$365,$A49,'Daily Plan'!$R$2:$R$365)/7</f>
        <v>0.14285714285714285</v>
      </c>
      <c r="N49" s="5">
        <f>SUMIFS('Daily Plan'!$I$2:$I$365,'Daily Plan'!$A$2:$A$365,$A49,'Daily Plan'!$K$2:$K$365,"Long Run")</f>
        <v>8</v>
      </c>
      <c r="O49" s="5">
        <f>SUMIF('Body Tracker'!$A$6:$A$57,$A49,'Body Tracker'!$C$6:$C$57)</f>
        <v>0</v>
      </c>
      <c r="P49" s="5">
        <f>SUMIF('Body Tracker'!$A$6:$A$57,$A49,'Body Tracker'!$H$6:$H$57)</f>
        <v>0</v>
      </c>
      <c r="Q49" s="5">
        <f>SUMIF('Body Tracker'!$A$6:$A$57,$A49,'Body Tracker'!$I$6:$I$57)</f>
        <v>0</v>
      </c>
    </row>
    <row r="50" spans="1:17" x14ac:dyDescent="0.2">
      <c r="A50" s="25">
        <v>49</v>
      </c>
      <c r="B50" s="25" t="s">
        <v>96</v>
      </c>
      <c r="C50" s="26">
        <f t="shared" si="3"/>
        <v>46425</v>
      </c>
      <c r="D50" s="26">
        <f t="shared" si="2"/>
        <v>46431</v>
      </c>
      <c r="E50" s="27">
        <f>SUMIF('Daily Plan'!$A$2:$A$365,$A50,'Daily Plan'!$E$2:$E$365)</f>
        <v>215</v>
      </c>
      <c r="F50" s="27">
        <f>SUMIF('Daily Plan'!$A$2:$A$365,$A50,'Daily Plan'!$H$2:$H$365)</f>
        <v>281</v>
      </c>
      <c r="G50" s="27">
        <f>SUMIF('Daily Plan'!$A$2:$A$365,$A50,'Daily Plan'!$S$2:$S$365)</f>
        <v>496</v>
      </c>
      <c r="H50" s="28">
        <f>SUMIF('Daily Plan'!$A$2:$A$365,$A50,'Daily Plan'!$I$2:$I$365)</f>
        <v>14.2</v>
      </c>
      <c r="I50" s="27">
        <f>SUMIF('Daily Plan'!$A$2:$A$365,$A50,'Daily Plan'!$M$2:$M$365)</f>
        <v>0</v>
      </c>
      <c r="J50" s="27">
        <f>SUMIF('Daily Plan'!$A$2:$A$365,$A50,'Daily Plan'!$N$2:$N$365)</f>
        <v>0</v>
      </c>
      <c r="K50" s="27">
        <f>SUMIF('Daily Plan'!$A$2:$A$365,$A50,'Daily Plan'!$T$2:$T$365)</f>
        <v>0</v>
      </c>
      <c r="L50" s="28">
        <f>SUMIF('Daily Plan'!$A$2:$A$365,$A50,'Daily Plan'!$O$2:$O$365)</f>
        <v>0</v>
      </c>
      <c r="M50" s="32">
        <f>SUMIF('Daily Plan'!$A$2:$A$365,$A50,'Daily Plan'!$R$2:$R$365)/7</f>
        <v>0.14285714285714285</v>
      </c>
      <c r="N50" s="28">
        <f>SUMIFS('Daily Plan'!$I$2:$I$365,'Daily Plan'!$A$2:$A$365,$A50,'Daily Plan'!$K$2:$K$365,"Long Run")</f>
        <v>0</v>
      </c>
      <c r="O50" s="28">
        <f>SUMIF('Body Tracker'!$A$6:$A$57,$A50,'Body Tracker'!$C$6:$C$57)</f>
        <v>0</v>
      </c>
      <c r="P50" s="28">
        <f>SUMIF('Body Tracker'!$A$6:$A$57,$A50,'Body Tracker'!$H$6:$H$57)</f>
        <v>0</v>
      </c>
      <c r="Q50" s="28">
        <f>SUMIF('Body Tracker'!$A$6:$A$57,$A50,'Body Tracker'!$I$6:$I$57)</f>
        <v>0</v>
      </c>
    </row>
    <row r="51" spans="1:17" x14ac:dyDescent="0.2">
      <c r="A51" s="3">
        <v>50</v>
      </c>
      <c r="B51" s="3" t="s">
        <v>96</v>
      </c>
      <c r="C51" s="2">
        <f t="shared" si="3"/>
        <v>46432</v>
      </c>
      <c r="D51" s="2">
        <f t="shared" si="2"/>
        <v>46438</v>
      </c>
      <c r="E51" s="31">
        <f>SUMIF('Daily Plan'!$A$2:$A$365,$A51,'Daily Plan'!$E$2:$E$365)</f>
        <v>210</v>
      </c>
      <c r="F51" s="31">
        <f>SUMIF('Daily Plan'!$A$2:$A$365,$A51,'Daily Plan'!$H$2:$H$365)</f>
        <v>241</v>
      </c>
      <c r="G51" s="31">
        <f>SUMIF('Daily Plan'!$A$2:$A$365,$A51,'Daily Plan'!$S$2:$S$365)</f>
        <v>451</v>
      </c>
      <c r="H51" s="5">
        <f>SUMIF('Daily Plan'!$A$2:$A$365,$A51,'Daily Plan'!$I$2:$I$365)</f>
        <v>13</v>
      </c>
      <c r="I51" s="31">
        <f>SUMIF('Daily Plan'!$A$2:$A$365,$A51,'Daily Plan'!$M$2:$M$365)</f>
        <v>0</v>
      </c>
      <c r="J51" s="31">
        <f>SUMIF('Daily Plan'!$A$2:$A$365,$A51,'Daily Plan'!$N$2:$N$365)</f>
        <v>0</v>
      </c>
      <c r="K51" s="31">
        <f>SUMIF('Daily Plan'!$A$2:$A$365,$A51,'Daily Plan'!$T$2:$T$365)</f>
        <v>0</v>
      </c>
      <c r="L51" s="5">
        <f>SUMIF('Daily Plan'!$A$2:$A$365,$A51,'Daily Plan'!$O$2:$O$365)</f>
        <v>0</v>
      </c>
      <c r="M51" s="4">
        <f>SUMIF('Daily Plan'!$A$2:$A$365,$A51,'Daily Plan'!$R$2:$R$365)/7</f>
        <v>0.14285714285714285</v>
      </c>
      <c r="N51" s="5">
        <f>SUMIFS('Daily Plan'!$I$2:$I$365,'Daily Plan'!$A$2:$A$365,$A51,'Daily Plan'!$K$2:$K$365,"Long Run")</f>
        <v>0</v>
      </c>
      <c r="O51" s="5">
        <f>SUMIF('Body Tracker'!$A$6:$A$57,$A51,'Body Tracker'!$C$6:$C$57)</f>
        <v>0</v>
      </c>
      <c r="P51" s="5">
        <f>SUMIF('Body Tracker'!$A$6:$A$57,$A51,'Body Tracker'!$H$6:$H$57)</f>
        <v>0</v>
      </c>
      <c r="Q51" s="5">
        <f>SUMIF('Body Tracker'!$A$6:$A$57,$A51,'Body Tracker'!$I$6:$I$57)</f>
        <v>0</v>
      </c>
    </row>
    <row r="52" spans="1:17" x14ac:dyDescent="0.2">
      <c r="A52" s="25">
        <v>51</v>
      </c>
      <c r="B52" s="25" t="s">
        <v>96</v>
      </c>
      <c r="C52" s="26">
        <f t="shared" si="3"/>
        <v>46439</v>
      </c>
      <c r="D52" s="26">
        <f t="shared" si="2"/>
        <v>46445</v>
      </c>
      <c r="E52" s="27">
        <f>SUMIF('Daily Plan'!$A$2:$A$365,$A52,'Daily Plan'!$E$2:$E$365)</f>
        <v>185</v>
      </c>
      <c r="F52" s="27">
        <f>SUMIF('Daily Plan'!$A$2:$A$365,$A52,'Daily Plan'!$H$2:$H$365)</f>
        <v>195</v>
      </c>
      <c r="G52" s="27">
        <f>SUMIF('Daily Plan'!$A$2:$A$365,$A52,'Daily Plan'!$S$2:$S$365)</f>
        <v>380</v>
      </c>
      <c r="H52" s="28">
        <f>SUMIF('Daily Plan'!$A$2:$A$365,$A52,'Daily Plan'!$I$2:$I$365)</f>
        <v>9.6999999999999993</v>
      </c>
      <c r="I52" s="27">
        <f>SUMIF('Daily Plan'!$A$2:$A$365,$A52,'Daily Plan'!$M$2:$M$365)</f>
        <v>0</v>
      </c>
      <c r="J52" s="27">
        <f>SUMIF('Daily Plan'!$A$2:$A$365,$A52,'Daily Plan'!$N$2:$N$365)</f>
        <v>0</v>
      </c>
      <c r="K52" s="27">
        <f>SUMIF('Daily Plan'!$A$2:$A$365,$A52,'Daily Plan'!$T$2:$T$365)</f>
        <v>0</v>
      </c>
      <c r="L52" s="28">
        <f>SUMIF('Daily Plan'!$A$2:$A$365,$A52,'Daily Plan'!$O$2:$O$365)</f>
        <v>0</v>
      </c>
      <c r="M52" s="32">
        <f>SUMIF('Daily Plan'!$A$2:$A$365,$A52,'Daily Plan'!$R$2:$R$365)/7</f>
        <v>0.14285714285714285</v>
      </c>
      <c r="N52" s="28">
        <f>SUMIFS('Daily Plan'!$I$2:$I$365,'Daily Plan'!$A$2:$A$365,$A52,'Daily Plan'!$K$2:$K$365,"Long Run")</f>
        <v>0</v>
      </c>
      <c r="O52" s="28">
        <f>SUMIF('Body Tracker'!$A$6:$A$57,$A52,'Body Tracker'!$C$6:$C$57)</f>
        <v>0</v>
      </c>
      <c r="P52" s="28">
        <f>SUMIF('Body Tracker'!$A$6:$A$57,$A52,'Body Tracker'!$H$6:$H$57)</f>
        <v>0</v>
      </c>
      <c r="Q52" s="28">
        <f>SUMIF('Body Tracker'!$A$6:$A$57,$A52,'Body Tracker'!$I$6:$I$57)</f>
        <v>0</v>
      </c>
    </row>
    <row r="53" spans="1:17" x14ac:dyDescent="0.2">
      <c r="A53" s="3">
        <v>52</v>
      </c>
      <c r="B53" s="3" t="s">
        <v>96</v>
      </c>
      <c r="C53" s="2">
        <f t="shared" si="3"/>
        <v>46446</v>
      </c>
      <c r="D53" s="2">
        <f t="shared" si="2"/>
        <v>46452</v>
      </c>
      <c r="E53" s="31">
        <f>SUMIF('Daily Plan'!$A$2:$A$365,$A53,'Daily Plan'!$E$2:$E$365)</f>
        <v>270</v>
      </c>
      <c r="F53" s="31">
        <f>SUMIF('Daily Plan'!$A$2:$A$365,$A53,'Daily Plan'!$H$2:$H$365)</f>
        <v>487</v>
      </c>
      <c r="G53" s="31">
        <f>SUMIF('Daily Plan'!$A$2:$A$365,$A53,'Daily Plan'!$S$2:$S$365)</f>
        <v>757</v>
      </c>
      <c r="H53" s="5">
        <f>SUMIF('Daily Plan'!$A$2:$A$365,$A53,'Daily Plan'!$I$2:$I$365)</f>
        <v>29.2</v>
      </c>
      <c r="I53" s="31">
        <f>SUMIF('Daily Plan'!$A$2:$A$365,$A53,'Daily Plan'!$M$2:$M$365)</f>
        <v>0</v>
      </c>
      <c r="J53" s="31">
        <f>SUMIF('Daily Plan'!$A$2:$A$365,$A53,'Daily Plan'!$N$2:$N$365)</f>
        <v>0</v>
      </c>
      <c r="K53" s="31">
        <f>SUMIF('Daily Plan'!$A$2:$A$365,$A53,'Daily Plan'!$T$2:$T$365)</f>
        <v>0</v>
      </c>
      <c r="L53" s="5">
        <f>SUMIF('Daily Plan'!$A$2:$A$365,$A53,'Daily Plan'!$O$2:$O$365)</f>
        <v>0</v>
      </c>
      <c r="M53" s="4">
        <f>SUMIF('Daily Plan'!$A$2:$A$365,$A53,'Daily Plan'!$R$2:$R$365)/7</f>
        <v>0.14285714285714285</v>
      </c>
      <c r="N53" s="5">
        <f>SUMIFS('Daily Plan'!$I$2:$I$365,'Daily Plan'!$A$2:$A$365,$A53,'Daily Plan'!$K$2:$K$365,"Long Run")</f>
        <v>0</v>
      </c>
      <c r="O53" s="5">
        <f>SUMIF('Body Tracker'!$A$6:$A$57,$A53,'Body Tracker'!$C$6:$C$57)</f>
        <v>0</v>
      </c>
      <c r="P53" s="5">
        <f>SUMIF('Body Tracker'!$A$6:$A$57,$A53,'Body Tracker'!$H$6:$H$57)</f>
        <v>0</v>
      </c>
      <c r="Q53" s="5">
        <f>SUMIF('Body Tracker'!$A$6:$A$57,$A53,'Body Tracker'!$I$6:$I$57)</f>
        <v>0</v>
      </c>
    </row>
  </sheetData>
  <autoFilter ref="A1:Q53" xr:uid="{00000000-0009-0000-0000-000004000000}"/>
  <conditionalFormatting sqref="M2:M53">
    <cfRule type="colorScale" priority="1">
      <colorScale>
        <cfvo type="num" val="0"/>
        <cfvo type="num" val="0.7"/>
        <cfvo type="num" val="1"/>
        <color rgb="FFF1948A"/>
        <color rgb="FFFCF3CF"/>
        <color rgb="FF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7"/>
  <sheetViews>
    <sheetView showGridLines="0" zoomScale="120" zoomScaleNormal="120" workbookViewId="0">
      <pane ySplit="5" topLeftCell="A6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8" customWidth="1"/>
    <col min="2" max="2" width="13" customWidth="1"/>
    <col min="3" max="11" width="11" customWidth="1"/>
    <col min="12" max="14" width="13" customWidth="1"/>
    <col min="15" max="15" width="36" bestFit="1" customWidth="1"/>
  </cols>
  <sheetData>
    <row r="1" spans="1:15" ht="28" customHeight="1" x14ac:dyDescent="0.2">
      <c r="A1" s="62" t="s">
        <v>218</v>
      </c>
      <c r="B1" s="63"/>
      <c r="C1" s="63"/>
      <c r="D1" s="63"/>
      <c r="E1" s="63"/>
      <c r="F1" s="63"/>
      <c r="G1" s="63"/>
      <c r="H1" s="63"/>
    </row>
    <row r="2" spans="1:15" ht="30" customHeight="1" x14ac:dyDescent="0.2">
      <c r="A2" s="63"/>
      <c r="B2" s="63"/>
      <c r="C2" s="63"/>
      <c r="D2" s="63"/>
      <c r="E2" s="63"/>
      <c r="F2" s="63"/>
      <c r="G2" s="63"/>
      <c r="H2" s="63"/>
    </row>
    <row r="3" spans="1:15" ht="22" customHeight="1" x14ac:dyDescent="0.2">
      <c r="A3" s="67" t="s">
        <v>219</v>
      </c>
      <c r="B3" s="63"/>
      <c r="C3" s="63"/>
      <c r="D3" s="63"/>
      <c r="E3" s="63"/>
      <c r="F3" s="63"/>
      <c r="G3" s="63"/>
      <c r="H3" s="63"/>
    </row>
    <row r="5" spans="1:15" x14ac:dyDescent="0.2">
      <c r="A5" s="33" t="s">
        <v>0</v>
      </c>
      <c r="B5" s="33" t="s">
        <v>220</v>
      </c>
      <c r="C5" s="33" t="s">
        <v>221</v>
      </c>
      <c r="D5" s="33" t="s">
        <v>222</v>
      </c>
      <c r="E5" s="33" t="s">
        <v>223</v>
      </c>
      <c r="F5" s="33" t="s">
        <v>224</v>
      </c>
      <c r="G5" s="33" t="s">
        <v>225</v>
      </c>
      <c r="H5" s="33" t="s">
        <v>216</v>
      </c>
      <c r="I5" s="33" t="s">
        <v>217</v>
      </c>
      <c r="J5" s="33" t="s">
        <v>226</v>
      </c>
      <c r="K5" s="33" t="s">
        <v>227</v>
      </c>
      <c r="L5" s="33" t="s">
        <v>228</v>
      </c>
      <c r="M5" s="33" t="s">
        <v>229</v>
      </c>
      <c r="N5" s="33" t="s">
        <v>230</v>
      </c>
      <c r="O5" s="33" t="s">
        <v>15</v>
      </c>
    </row>
    <row r="6" spans="1:15" x14ac:dyDescent="0.2">
      <c r="A6" s="25">
        <v>1</v>
      </c>
      <c r="B6" s="26">
        <f>Controls!$B$6</f>
        <v>46089</v>
      </c>
      <c r="C6" s="29">
        <v>281.60000000000002</v>
      </c>
      <c r="D6" s="29">
        <v>17</v>
      </c>
      <c r="E6" s="29">
        <v>17</v>
      </c>
      <c r="F6" s="29">
        <v>29.5</v>
      </c>
      <c r="G6" s="29">
        <v>29.5</v>
      </c>
      <c r="H6" s="29">
        <v>53.5</v>
      </c>
      <c r="I6" s="29">
        <v>51</v>
      </c>
      <c r="J6" s="30">
        <f t="shared" ref="J6:J37" si="0">IF(COUNTA(D6:E6)=0,"",AVERAGE(D6:E6))</f>
        <v>17</v>
      </c>
      <c r="K6" s="30">
        <f t="shared" ref="K6:K37" si="1">IF(COUNTA(F6:G6)=0,"",AVERAGE(F6:G6))</f>
        <v>29.5</v>
      </c>
      <c r="L6" s="30">
        <f t="shared" ref="L6:L37" si="2">IF(C6="","",C6-$C$6)</f>
        <v>0</v>
      </c>
      <c r="M6" s="30">
        <f t="shared" ref="M6:M37" si="3">IF(H6="","",H6-$H$6)</f>
        <v>0</v>
      </c>
      <c r="N6" s="30">
        <f t="shared" ref="N6:N37" si="4">IF(I6="","",I6-$I$6)</f>
        <v>0</v>
      </c>
      <c r="O6" s="13" t="s">
        <v>231</v>
      </c>
    </row>
    <row r="7" spans="1:15" x14ac:dyDescent="0.2">
      <c r="A7" s="3">
        <v>2</v>
      </c>
      <c r="B7" s="2">
        <v>46093</v>
      </c>
      <c r="C7" s="29"/>
      <c r="D7" s="29"/>
      <c r="E7" s="29"/>
      <c r="F7" s="29"/>
      <c r="G7" s="29"/>
      <c r="H7" s="29"/>
      <c r="I7" s="29"/>
      <c r="J7" s="30" t="str">
        <f t="shared" si="0"/>
        <v/>
      </c>
      <c r="K7" s="30" t="str">
        <f t="shared" si="1"/>
        <v/>
      </c>
      <c r="L7" s="30" t="str">
        <f t="shared" si="2"/>
        <v/>
      </c>
      <c r="M7" s="30" t="str">
        <f t="shared" si="3"/>
        <v/>
      </c>
      <c r="N7" s="30" t="str">
        <f t="shared" si="4"/>
        <v/>
      </c>
      <c r="O7" s="13"/>
    </row>
    <row r="8" spans="1:15" x14ac:dyDescent="0.2">
      <c r="A8" s="25">
        <v>3</v>
      </c>
      <c r="B8" s="26">
        <f t="shared" ref="B8:B39" si="5">B7+7</f>
        <v>46100</v>
      </c>
      <c r="C8" s="29"/>
      <c r="D8" s="29"/>
      <c r="E8" s="29"/>
      <c r="F8" s="29"/>
      <c r="G8" s="29"/>
      <c r="H8" s="29"/>
      <c r="I8" s="29"/>
      <c r="J8" s="30" t="str">
        <f t="shared" si="0"/>
        <v/>
      </c>
      <c r="K8" s="30" t="str">
        <f t="shared" si="1"/>
        <v/>
      </c>
      <c r="L8" s="30" t="str">
        <f t="shared" si="2"/>
        <v/>
      </c>
      <c r="M8" s="30" t="str">
        <f t="shared" si="3"/>
        <v/>
      </c>
      <c r="N8" s="30" t="str">
        <f t="shared" si="4"/>
        <v/>
      </c>
      <c r="O8" s="13"/>
    </row>
    <row r="9" spans="1:15" x14ac:dyDescent="0.2">
      <c r="A9" s="3">
        <v>4</v>
      </c>
      <c r="B9" s="2">
        <f t="shared" si="5"/>
        <v>46107</v>
      </c>
      <c r="C9" s="29">
        <v>279.8</v>
      </c>
      <c r="D9" s="29">
        <v>17.5</v>
      </c>
      <c r="E9" s="29">
        <v>17.5</v>
      </c>
      <c r="F9" s="29">
        <v>28.5</v>
      </c>
      <c r="G9" s="29">
        <v>28.5</v>
      </c>
      <c r="H9" s="29">
        <v>52.5</v>
      </c>
      <c r="I9" s="29">
        <v>51</v>
      </c>
      <c r="J9" s="30">
        <f t="shared" si="0"/>
        <v>17.5</v>
      </c>
      <c r="K9" s="30">
        <f t="shared" si="1"/>
        <v>28.5</v>
      </c>
      <c r="L9" s="30">
        <f t="shared" si="2"/>
        <v>-1.8000000000000114</v>
      </c>
      <c r="M9" s="30">
        <f t="shared" si="3"/>
        <v>-1</v>
      </c>
      <c r="N9" s="30">
        <f t="shared" si="4"/>
        <v>0</v>
      </c>
      <c r="O9" s="13"/>
    </row>
    <row r="10" spans="1:15" x14ac:dyDescent="0.2">
      <c r="A10" s="25">
        <v>5</v>
      </c>
      <c r="B10" s="26">
        <f t="shared" si="5"/>
        <v>46114</v>
      </c>
      <c r="C10" s="29"/>
      <c r="D10" s="29"/>
      <c r="E10" s="29"/>
      <c r="F10" s="29"/>
      <c r="G10" s="29"/>
      <c r="H10" s="29"/>
      <c r="I10" s="29"/>
      <c r="J10" s="30" t="str">
        <f t="shared" si="0"/>
        <v/>
      </c>
      <c r="K10" s="30" t="str">
        <f t="shared" si="1"/>
        <v/>
      </c>
      <c r="L10" s="30" t="str">
        <f t="shared" si="2"/>
        <v/>
      </c>
      <c r="M10" s="30" t="str">
        <f t="shared" si="3"/>
        <v/>
      </c>
      <c r="N10" s="30" t="str">
        <f t="shared" si="4"/>
        <v/>
      </c>
      <c r="O10" s="13"/>
    </row>
    <row r="11" spans="1:15" x14ac:dyDescent="0.2">
      <c r="A11" s="3">
        <v>6</v>
      </c>
      <c r="B11" s="2">
        <f t="shared" si="5"/>
        <v>46121</v>
      </c>
      <c r="C11" s="29"/>
      <c r="D11" s="29"/>
      <c r="E11" s="29"/>
      <c r="F11" s="29"/>
      <c r="G11" s="29"/>
      <c r="H11" s="29"/>
      <c r="I11" s="29"/>
      <c r="J11" s="30" t="str">
        <f t="shared" si="0"/>
        <v/>
      </c>
      <c r="K11" s="30" t="str">
        <f t="shared" si="1"/>
        <v/>
      </c>
      <c r="L11" s="30" t="str">
        <f t="shared" si="2"/>
        <v/>
      </c>
      <c r="M11" s="30" t="str">
        <f t="shared" si="3"/>
        <v/>
      </c>
      <c r="N11" s="30" t="str">
        <f t="shared" si="4"/>
        <v/>
      </c>
      <c r="O11" s="13"/>
    </row>
    <row r="12" spans="1:15" x14ac:dyDescent="0.2">
      <c r="A12" s="25">
        <v>7</v>
      </c>
      <c r="B12" s="26">
        <f t="shared" si="5"/>
        <v>46128</v>
      </c>
      <c r="C12" s="29"/>
      <c r="D12" s="29"/>
      <c r="E12" s="29"/>
      <c r="F12" s="29"/>
      <c r="G12" s="29"/>
      <c r="H12" s="29"/>
      <c r="I12" s="29"/>
      <c r="J12" s="30" t="str">
        <f t="shared" si="0"/>
        <v/>
      </c>
      <c r="K12" s="30" t="str">
        <f t="shared" si="1"/>
        <v/>
      </c>
      <c r="L12" s="30" t="str">
        <f t="shared" si="2"/>
        <v/>
      </c>
      <c r="M12" s="30" t="str">
        <f t="shared" si="3"/>
        <v/>
      </c>
      <c r="N12" s="30" t="str">
        <f t="shared" si="4"/>
        <v/>
      </c>
      <c r="O12" s="13"/>
    </row>
    <row r="13" spans="1:15" x14ac:dyDescent="0.2">
      <c r="A13" s="3">
        <v>8</v>
      </c>
      <c r="B13" s="2">
        <f t="shared" si="5"/>
        <v>46135</v>
      </c>
      <c r="C13" s="29"/>
      <c r="D13" s="29"/>
      <c r="E13" s="29"/>
      <c r="F13" s="29"/>
      <c r="G13" s="29"/>
      <c r="H13" s="29"/>
      <c r="I13" s="29"/>
      <c r="J13" s="30" t="str">
        <f t="shared" si="0"/>
        <v/>
      </c>
      <c r="K13" s="30" t="str">
        <f t="shared" si="1"/>
        <v/>
      </c>
      <c r="L13" s="30" t="str">
        <f t="shared" si="2"/>
        <v/>
      </c>
      <c r="M13" s="30" t="str">
        <f t="shared" si="3"/>
        <v/>
      </c>
      <c r="N13" s="30" t="str">
        <f t="shared" si="4"/>
        <v/>
      </c>
      <c r="O13" s="13"/>
    </row>
    <row r="14" spans="1:15" x14ac:dyDescent="0.2">
      <c r="A14" s="25">
        <v>9</v>
      </c>
      <c r="B14" s="26">
        <f t="shared" si="5"/>
        <v>46142</v>
      </c>
      <c r="C14" s="29"/>
      <c r="D14" s="29"/>
      <c r="E14" s="29"/>
      <c r="F14" s="29"/>
      <c r="G14" s="29"/>
      <c r="H14" s="29"/>
      <c r="I14" s="29"/>
      <c r="J14" s="30" t="str">
        <f t="shared" si="0"/>
        <v/>
      </c>
      <c r="K14" s="30" t="str">
        <f t="shared" si="1"/>
        <v/>
      </c>
      <c r="L14" s="30" t="str">
        <f t="shared" si="2"/>
        <v/>
      </c>
      <c r="M14" s="30" t="str">
        <f t="shared" si="3"/>
        <v/>
      </c>
      <c r="N14" s="30" t="str">
        <f t="shared" si="4"/>
        <v/>
      </c>
      <c r="O14" s="13"/>
    </row>
    <row r="15" spans="1:15" x14ac:dyDescent="0.2">
      <c r="A15" s="3">
        <v>10</v>
      </c>
      <c r="B15" s="2">
        <f t="shared" si="5"/>
        <v>46149</v>
      </c>
      <c r="C15" s="29"/>
      <c r="D15" s="29"/>
      <c r="E15" s="29"/>
      <c r="F15" s="29"/>
      <c r="G15" s="29"/>
      <c r="H15" s="29"/>
      <c r="I15" s="29"/>
      <c r="J15" s="30" t="str">
        <f t="shared" si="0"/>
        <v/>
      </c>
      <c r="K15" s="30" t="str">
        <f t="shared" si="1"/>
        <v/>
      </c>
      <c r="L15" s="30" t="str">
        <f t="shared" si="2"/>
        <v/>
      </c>
      <c r="M15" s="30" t="str">
        <f t="shared" si="3"/>
        <v/>
      </c>
      <c r="N15" s="30" t="str">
        <f t="shared" si="4"/>
        <v/>
      </c>
      <c r="O15" s="13"/>
    </row>
    <row r="16" spans="1:15" x14ac:dyDescent="0.2">
      <c r="A16" s="25">
        <v>11</v>
      </c>
      <c r="B16" s="26">
        <f t="shared" si="5"/>
        <v>46156</v>
      </c>
      <c r="C16" s="29"/>
      <c r="D16" s="29"/>
      <c r="E16" s="29"/>
      <c r="F16" s="29"/>
      <c r="G16" s="29"/>
      <c r="H16" s="29"/>
      <c r="I16" s="29"/>
      <c r="J16" s="30" t="str">
        <f t="shared" si="0"/>
        <v/>
      </c>
      <c r="K16" s="30" t="str">
        <f t="shared" si="1"/>
        <v/>
      </c>
      <c r="L16" s="30" t="str">
        <f t="shared" si="2"/>
        <v/>
      </c>
      <c r="M16" s="30" t="str">
        <f t="shared" si="3"/>
        <v/>
      </c>
      <c r="N16" s="30" t="str">
        <f t="shared" si="4"/>
        <v/>
      </c>
      <c r="O16" s="13"/>
    </row>
    <row r="17" spans="1:15" x14ac:dyDescent="0.2">
      <c r="A17" s="3">
        <v>12</v>
      </c>
      <c r="B17" s="2">
        <f t="shared" si="5"/>
        <v>46163</v>
      </c>
      <c r="C17" s="29"/>
      <c r="D17" s="29"/>
      <c r="E17" s="29"/>
      <c r="F17" s="29"/>
      <c r="G17" s="29"/>
      <c r="H17" s="29"/>
      <c r="I17" s="29"/>
      <c r="J17" s="30" t="str">
        <f t="shared" si="0"/>
        <v/>
      </c>
      <c r="K17" s="30" t="str">
        <f t="shared" si="1"/>
        <v/>
      </c>
      <c r="L17" s="30" t="str">
        <f t="shared" si="2"/>
        <v/>
      </c>
      <c r="M17" s="30" t="str">
        <f t="shared" si="3"/>
        <v/>
      </c>
      <c r="N17" s="30" t="str">
        <f t="shared" si="4"/>
        <v/>
      </c>
      <c r="O17" s="13"/>
    </row>
    <row r="18" spans="1:15" x14ac:dyDescent="0.2">
      <c r="A18" s="25">
        <v>13</v>
      </c>
      <c r="B18" s="26">
        <f t="shared" si="5"/>
        <v>46170</v>
      </c>
      <c r="C18" s="29"/>
      <c r="D18" s="29"/>
      <c r="E18" s="29"/>
      <c r="F18" s="29"/>
      <c r="G18" s="29"/>
      <c r="H18" s="29"/>
      <c r="I18" s="29"/>
      <c r="J18" s="30" t="str">
        <f t="shared" si="0"/>
        <v/>
      </c>
      <c r="K18" s="30" t="str">
        <f t="shared" si="1"/>
        <v/>
      </c>
      <c r="L18" s="30" t="str">
        <f t="shared" si="2"/>
        <v/>
      </c>
      <c r="M18" s="30" t="str">
        <f t="shared" si="3"/>
        <v/>
      </c>
      <c r="N18" s="30" t="str">
        <f t="shared" si="4"/>
        <v/>
      </c>
      <c r="O18" s="13"/>
    </row>
    <row r="19" spans="1:15" x14ac:dyDescent="0.2">
      <c r="A19" s="3">
        <v>14</v>
      </c>
      <c r="B19" s="2">
        <f t="shared" si="5"/>
        <v>46177</v>
      </c>
      <c r="C19" s="29"/>
      <c r="D19" s="29"/>
      <c r="E19" s="29"/>
      <c r="F19" s="29"/>
      <c r="G19" s="29"/>
      <c r="H19" s="29"/>
      <c r="I19" s="29"/>
      <c r="J19" s="30" t="str">
        <f t="shared" si="0"/>
        <v/>
      </c>
      <c r="K19" s="30" t="str">
        <f t="shared" si="1"/>
        <v/>
      </c>
      <c r="L19" s="30" t="str">
        <f t="shared" si="2"/>
        <v/>
      </c>
      <c r="M19" s="30" t="str">
        <f t="shared" si="3"/>
        <v/>
      </c>
      <c r="N19" s="30" t="str">
        <f t="shared" si="4"/>
        <v/>
      </c>
      <c r="O19" s="13"/>
    </row>
    <row r="20" spans="1:15" x14ac:dyDescent="0.2">
      <c r="A20" s="25">
        <v>15</v>
      </c>
      <c r="B20" s="26">
        <f t="shared" si="5"/>
        <v>46184</v>
      </c>
      <c r="C20" s="29"/>
      <c r="D20" s="29"/>
      <c r="E20" s="29"/>
      <c r="F20" s="29"/>
      <c r="G20" s="29"/>
      <c r="H20" s="29"/>
      <c r="I20" s="29"/>
      <c r="J20" s="30" t="str">
        <f t="shared" si="0"/>
        <v/>
      </c>
      <c r="K20" s="30" t="str">
        <f t="shared" si="1"/>
        <v/>
      </c>
      <c r="L20" s="30" t="str">
        <f t="shared" si="2"/>
        <v/>
      </c>
      <c r="M20" s="30" t="str">
        <f t="shared" si="3"/>
        <v/>
      </c>
      <c r="N20" s="30" t="str">
        <f t="shared" si="4"/>
        <v/>
      </c>
      <c r="O20" s="13"/>
    </row>
    <row r="21" spans="1:15" x14ac:dyDescent="0.2">
      <c r="A21" s="3">
        <v>16</v>
      </c>
      <c r="B21" s="2">
        <f t="shared" si="5"/>
        <v>46191</v>
      </c>
      <c r="C21" s="29"/>
      <c r="D21" s="29"/>
      <c r="E21" s="29"/>
      <c r="F21" s="29"/>
      <c r="G21" s="29"/>
      <c r="H21" s="29"/>
      <c r="I21" s="29"/>
      <c r="J21" s="30" t="str">
        <f t="shared" si="0"/>
        <v/>
      </c>
      <c r="K21" s="30" t="str">
        <f t="shared" si="1"/>
        <v/>
      </c>
      <c r="L21" s="30" t="str">
        <f t="shared" si="2"/>
        <v/>
      </c>
      <c r="M21" s="30" t="str">
        <f t="shared" si="3"/>
        <v/>
      </c>
      <c r="N21" s="30" t="str">
        <f t="shared" si="4"/>
        <v/>
      </c>
      <c r="O21" s="13"/>
    </row>
    <row r="22" spans="1:15" x14ac:dyDescent="0.2">
      <c r="A22" s="25">
        <v>17</v>
      </c>
      <c r="B22" s="26">
        <f t="shared" si="5"/>
        <v>46198</v>
      </c>
      <c r="C22" s="29"/>
      <c r="D22" s="29"/>
      <c r="E22" s="29"/>
      <c r="F22" s="29"/>
      <c r="G22" s="29"/>
      <c r="H22" s="29"/>
      <c r="I22" s="29"/>
      <c r="J22" s="30" t="str">
        <f t="shared" si="0"/>
        <v/>
      </c>
      <c r="K22" s="30" t="str">
        <f t="shared" si="1"/>
        <v/>
      </c>
      <c r="L22" s="30" t="str">
        <f t="shared" si="2"/>
        <v/>
      </c>
      <c r="M22" s="30" t="str">
        <f t="shared" si="3"/>
        <v/>
      </c>
      <c r="N22" s="30" t="str">
        <f t="shared" si="4"/>
        <v/>
      </c>
      <c r="O22" s="13"/>
    </row>
    <row r="23" spans="1:15" x14ac:dyDescent="0.2">
      <c r="A23" s="3">
        <v>18</v>
      </c>
      <c r="B23" s="2">
        <f t="shared" si="5"/>
        <v>46205</v>
      </c>
      <c r="C23" s="29"/>
      <c r="D23" s="29"/>
      <c r="E23" s="29"/>
      <c r="F23" s="29"/>
      <c r="G23" s="29"/>
      <c r="H23" s="29"/>
      <c r="I23" s="29"/>
      <c r="J23" s="30" t="str">
        <f t="shared" si="0"/>
        <v/>
      </c>
      <c r="K23" s="30" t="str">
        <f t="shared" si="1"/>
        <v/>
      </c>
      <c r="L23" s="30" t="str">
        <f t="shared" si="2"/>
        <v/>
      </c>
      <c r="M23" s="30" t="str">
        <f t="shared" si="3"/>
        <v/>
      </c>
      <c r="N23" s="30" t="str">
        <f t="shared" si="4"/>
        <v/>
      </c>
      <c r="O23" s="13"/>
    </row>
    <row r="24" spans="1:15" x14ac:dyDescent="0.2">
      <c r="A24" s="25">
        <v>19</v>
      </c>
      <c r="B24" s="26">
        <f t="shared" si="5"/>
        <v>46212</v>
      </c>
      <c r="C24" s="29"/>
      <c r="D24" s="29"/>
      <c r="E24" s="29"/>
      <c r="F24" s="29"/>
      <c r="G24" s="29"/>
      <c r="H24" s="29"/>
      <c r="I24" s="29"/>
      <c r="J24" s="30" t="str">
        <f t="shared" si="0"/>
        <v/>
      </c>
      <c r="K24" s="30" t="str">
        <f t="shared" si="1"/>
        <v/>
      </c>
      <c r="L24" s="30" t="str">
        <f t="shared" si="2"/>
        <v/>
      </c>
      <c r="M24" s="30" t="str">
        <f t="shared" si="3"/>
        <v/>
      </c>
      <c r="N24" s="30" t="str">
        <f t="shared" si="4"/>
        <v/>
      </c>
      <c r="O24" s="13"/>
    </row>
    <row r="25" spans="1:15" x14ac:dyDescent="0.2">
      <c r="A25" s="3">
        <v>20</v>
      </c>
      <c r="B25" s="2">
        <f t="shared" si="5"/>
        <v>46219</v>
      </c>
      <c r="C25" s="29"/>
      <c r="D25" s="29"/>
      <c r="E25" s="29"/>
      <c r="F25" s="29"/>
      <c r="G25" s="29"/>
      <c r="H25" s="29"/>
      <c r="I25" s="29"/>
      <c r="J25" s="30" t="str">
        <f t="shared" si="0"/>
        <v/>
      </c>
      <c r="K25" s="30" t="str">
        <f t="shared" si="1"/>
        <v/>
      </c>
      <c r="L25" s="30" t="str">
        <f t="shared" si="2"/>
        <v/>
      </c>
      <c r="M25" s="30" t="str">
        <f t="shared" si="3"/>
        <v/>
      </c>
      <c r="N25" s="30" t="str">
        <f t="shared" si="4"/>
        <v/>
      </c>
      <c r="O25" s="13"/>
    </row>
    <row r="26" spans="1:15" x14ac:dyDescent="0.2">
      <c r="A26" s="25">
        <v>21</v>
      </c>
      <c r="B26" s="26">
        <f t="shared" si="5"/>
        <v>46226</v>
      </c>
      <c r="C26" s="29"/>
      <c r="D26" s="29"/>
      <c r="E26" s="29"/>
      <c r="F26" s="29"/>
      <c r="G26" s="29"/>
      <c r="H26" s="29"/>
      <c r="I26" s="29"/>
      <c r="J26" s="30" t="str">
        <f t="shared" si="0"/>
        <v/>
      </c>
      <c r="K26" s="30" t="str">
        <f t="shared" si="1"/>
        <v/>
      </c>
      <c r="L26" s="30" t="str">
        <f t="shared" si="2"/>
        <v/>
      </c>
      <c r="M26" s="30" t="str">
        <f t="shared" si="3"/>
        <v/>
      </c>
      <c r="N26" s="30" t="str">
        <f t="shared" si="4"/>
        <v/>
      </c>
      <c r="O26" s="13"/>
    </row>
    <row r="27" spans="1:15" x14ac:dyDescent="0.2">
      <c r="A27" s="3">
        <v>22</v>
      </c>
      <c r="B27" s="2">
        <f t="shared" si="5"/>
        <v>46233</v>
      </c>
      <c r="C27" s="29"/>
      <c r="D27" s="29"/>
      <c r="E27" s="29"/>
      <c r="F27" s="29"/>
      <c r="G27" s="29"/>
      <c r="H27" s="29"/>
      <c r="I27" s="29"/>
      <c r="J27" s="30" t="str">
        <f t="shared" si="0"/>
        <v/>
      </c>
      <c r="K27" s="30" t="str">
        <f t="shared" si="1"/>
        <v/>
      </c>
      <c r="L27" s="30" t="str">
        <f t="shared" si="2"/>
        <v/>
      </c>
      <c r="M27" s="30" t="str">
        <f t="shared" si="3"/>
        <v/>
      </c>
      <c r="N27" s="30" t="str">
        <f t="shared" si="4"/>
        <v/>
      </c>
      <c r="O27" s="13"/>
    </row>
    <row r="28" spans="1:15" x14ac:dyDescent="0.2">
      <c r="A28" s="25">
        <v>23</v>
      </c>
      <c r="B28" s="26">
        <f t="shared" si="5"/>
        <v>46240</v>
      </c>
      <c r="C28" s="29"/>
      <c r="D28" s="29"/>
      <c r="E28" s="29"/>
      <c r="F28" s="29"/>
      <c r="G28" s="29"/>
      <c r="H28" s="29"/>
      <c r="I28" s="29"/>
      <c r="J28" s="30" t="str">
        <f t="shared" si="0"/>
        <v/>
      </c>
      <c r="K28" s="30" t="str">
        <f t="shared" si="1"/>
        <v/>
      </c>
      <c r="L28" s="30" t="str">
        <f t="shared" si="2"/>
        <v/>
      </c>
      <c r="M28" s="30" t="str">
        <f t="shared" si="3"/>
        <v/>
      </c>
      <c r="N28" s="30" t="str">
        <f t="shared" si="4"/>
        <v/>
      </c>
      <c r="O28" s="13"/>
    </row>
    <row r="29" spans="1:15" x14ac:dyDescent="0.2">
      <c r="A29" s="3">
        <v>24</v>
      </c>
      <c r="B29" s="2">
        <f t="shared" si="5"/>
        <v>46247</v>
      </c>
      <c r="C29" s="29"/>
      <c r="D29" s="29"/>
      <c r="E29" s="29"/>
      <c r="F29" s="29"/>
      <c r="G29" s="29"/>
      <c r="H29" s="29"/>
      <c r="I29" s="29"/>
      <c r="J29" s="30" t="str">
        <f t="shared" si="0"/>
        <v/>
      </c>
      <c r="K29" s="30" t="str">
        <f t="shared" si="1"/>
        <v/>
      </c>
      <c r="L29" s="30" t="str">
        <f t="shared" si="2"/>
        <v/>
      </c>
      <c r="M29" s="30" t="str">
        <f t="shared" si="3"/>
        <v/>
      </c>
      <c r="N29" s="30" t="str">
        <f t="shared" si="4"/>
        <v/>
      </c>
      <c r="O29" s="13"/>
    </row>
    <row r="30" spans="1:15" x14ac:dyDescent="0.2">
      <c r="A30" s="25">
        <v>25</v>
      </c>
      <c r="B30" s="26">
        <f t="shared" si="5"/>
        <v>46254</v>
      </c>
      <c r="C30" s="29"/>
      <c r="D30" s="29"/>
      <c r="E30" s="29"/>
      <c r="F30" s="29"/>
      <c r="G30" s="29"/>
      <c r="H30" s="29"/>
      <c r="I30" s="29"/>
      <c r="J30" s="30" t="str">
        <f t="shared" si="0"/>
        <v/>
      </c>
      <c r="K30" s="30" t="str">
        <f t="shared" si="1"/>
        <v/>
      </c>
      <c r="L30" s="30" t="str">
        <f t="shared" si="2"/>
        <v/>
      </c>
      <c r="M30" s="30" t="str">
        <f t="shared" si="3"/>
        <v/>
      </c>
      <c r="N30" s="30" t="str">
        <f t="shared" si="4"/>
        <v/>
      </c>
      <c r="O30" s="13"/>
    </row>
    <row r="31" spans="1:15" x14ac:dyDescent="0.2">
      <c r="A31" s="3">
        <v>26</v>
      </c>
      <c r="B31" s="2">
        <f t="shared" si="5"/>
        <v>46261</v>
      </c>
      <c r="C31" s="29"/>
      <c r="D31" s="29"/>
      <c r="E31" s="29"/>
      <c r="F31" s="29"/>
      <c r="G31" s="29"/>
      <c r="H31" s="29"/>
      <c r="I31" s="29"/>
      <c r="J31" s="30" t="str">
        <f t="shared" si="0"/>
        <v/>
      </c>
      <c r="K31" s="30" t="str">
        <f t="shared" si="1"/>
        <v/>
      </c>
      <c r="L31" s="30" t="str">
        <f t="shared" si="2"/>
        <v/>
      </c>
      <c r="M31" s="30" t="str">
        <f t="shared" si="3"/>
        <v/>
      </c>
      <c r="N31" s="30" t="str">
        <f t="shared" si="4"/>
        <v/>
      </c>
      <c r="O31" s="13"/>
    </row>
    <row r="32" spans="1:15" x14ac:dyDescent="0.2">
      <c r="A32" s="25">
        <v>27</v>
      </c>
      <c r="B32" s="26">
        <f t="shared" si="5"/>
        <v>46268</v>
      </c>
      <c r="C32" s="29"/>
      <c r="D32" s="29"/>
      <c r="E32" s="29"/>
      <c r="F32" s="29"/>
      <c r="G32" s="29"/>
      <c r="H32" s="29"/>
      <c r="I32" s="29"/>
      <c r="J32" s="30" t="str">
        <f t="shared" si="0"/>
        <v/>
      </c>
      <c r="K32" s="30" t="str">
        <f t="shared" si="1"/>
        <v/>
      </c>
      <c r="L32" s="30" t="str">
        <f t="shared" si="2"/>
        <v/>
      </c>
      <c r="M32" s="30" t="str">
        <f t="shared" si="3"/>
        <v/>
      </c>
      <c r="N32" s="30" t="str">
        <f t="shared" si="4"/>
        <v/>
      </c>
      <c r="O32" s="13"/>
    </row>
    <row r="33" spans="1:15" x14ac:dyDescent="0.2">
      <c r="A33" s="3">
        <v>28</v>
      </c>
      <c r="B33" s="2">
        <f t="shared" si="5"/>
        <v>46275</v>
      </c>
      <c r="C33" s="29"/>
      <c r="D33" s="29"/>
      <c r="E33" s="29"/>
      <c r="F33" s="29"/>
      <c r="G33" s="29"/>
      <c r="H33" s="29"/>
      <c r="I33" s="29"/>
      <c r="J33" s="30" t="str">
        <f t="shared" si="0"/>
        <v/>
      </c>
      <c r="K33" s="30" t="str">
        <f t="shared" si="1"/>
        <v/>
      </c>
      <c r="L33" s="30" t="str">
        <f t="shared" si="2"/>
        <v/>
      </c>
      <c r="M33" s="30" t="str">
        <f t="shared" si="3"/>
        <v/>
      </c>
      <c r="N33" s="30" t="str">
        <f t="shared" si="4"/>
        <v/>
      </c>
      <c r="O33" s="13"/>
    </row>
    <row r="34" spans="1:15" x14ac:dyDescent="0.2">
      <c r="A34" s="25">
        <v>29</v>
      </c>
      <c r="B34" s="26">
        <f t="shared" si="5"/>
        <v>46282</v>
      </c>
      <c r="C34" s="29"/>
      <c r="D34" s="29"/>
      <c r="E34" s="29"/>
      <c r="F34" s="29"/>
      <c r="G34" s="29"/>
      <c r="H34" s="29"/>
      <c r="I34" s="29"/>
      <c r="J34" s="30" t="str">
        <f t="shared" si="0"/>
        <v/>
      </c>
      <c r="K34" s="30" t="str">
        <f t="shared" si="1"/>
        <v/>
      </c>
      <c r="L34" s="30" t="str">
        <f t="shared" si="2"/>
        <v/>
      </c>
      <c r="M34" s="30" t="str">
        <f t="shared" si="3"/>
        <v/>
      </c>
      <c r="N34" s="30" t="str">
        <f t="shared" si="4"/>
        <v/>
      </c>
      <c r="O34" s="13"/>
    </row>
    <row r="35" spans="1:15" x14ac:dyDescent="0.2">
      <c r="A35" s="3">
        <v>30</v>
      </c>
      <c r="B35" s="2">
        <f t="shared" si="5"/>
        <v>46289</v>
      </c>
      <c r="C35" s="29"/>
      <c r="D35" s="29"/>
      <c r="E35" s="29"/>
      <c r="F35" s="29"/>
      <c r="G35" s="29"/>
      <c r="H35" s="29"/>
      <c r="I35" s="29"/>
      <c r="J35" s="30" t="str">
        <f t="shared" si="0"/>
        <v/>
      </c>
      <c r="K35" s="30" t="str">
        <f t="shared" si="1"/>
        <v/>
      </c>
      <c r="L35" s="30" t="str">
        <f t="shared" si="2"/>
        <v/>
      </c>
      <c r="M35" s="30" t="str">
        <f t="shared" si="3"/>
        <v/>
      </c>
      <c r="N35" s="30" t="str">
        <f t="shared" si="4"/>
        <v/>
      </c>
      <c r="O35" s="13"/>
    </row>
    <row r="36" spans="1:15" x14ac:dyDescent="0.2">
      <c r="A36" s="25">
        <v>31</v>
      </c>
      <c r="B36" s="26">
        <f t="shared" si="5"/>
        <v>46296</v>
      </c>
      <c r="C36" s="29"/>
      <c r="D36" s="29"/>
      <c r="E36" s="29"/>
      <c r="F36" s="29"/>
      <c r="G36" s="29"/>
      <c r="H36" s="29"/>
      <c r="I36" s="29"/>
      <c r="J36" s="30" t="str">
        <f t="shared" si="0"/>
        <v/>
      </c>
      <c r="K36" s="30" t="str">
        <f t="shared" si="1"/>
        <v/>
      </c>
      <c r="L36" s="30" t="str">
        <f t="shared" si="2"/>
        <v/>
      </c>
      <c r="M36" s="30" t="str">
        <f t="shared" si="3"/>
        <v/>
      </c>
      <c r="N36" s="30" t="str">
        <f t="shared" si="4"/>
        <v/>
      </c>
      <c r="O36" s="13"/>
    </row>
    <row r="37" spans="1:15" x14ac:dyDescent="0.2">
      <c r="A37" s="3">
        <v>32</v>
      </c>
      <c r="B37" s="2">
        <f t="shared" si="5"/>
        <v>46303</v>
      </c>
      <c r="C37" s="29"/>
      <c r="D37" s="29"/>
      <c r="E37" s="29"/>
      <c r="F37" s="29"/>
      <c r="G37" s="29"/>
      <c r="H37" s="29"/>
      <c r="I37" s="29"/>
      <c r="J37" s="30" t="str">
        <f t="shared" si="0"/>
        <v/>
      </c>
      <c r="K37" s="30" t="str">
        <f t="shared" si="1"/>
        <v/>
      </c>
      <c r="L37" s="30" t="str">
        <f t="shared" si="2"/>
        <v/>
      </c>
      <c r="M37" s="30" t="str">
        <f t="shared" si="3"/>
        <v/>
      </c>
      <c r="N37" s="30" t="str">
        <f t="shared" si="4"/>
        <v/>
      </c>
      <c r="O37" s="13"/>
    </row>
    <row r="38" spans="1:15" x14ac:dyDescent="0.2">
      <c r="A38" s="25">
        <v>33</v>
      </c>
      <c r="B38" s="26">
        <f t="shared" si="5"/>
        <v>46310</v>
      </c>
      <c r="C38" s="29"/>
      <c r="D38" s="29"/>
      <c r="E38" s="29"/>
      <c r="F38" s="29"/>
      <c r="G38" s="29"/>
      <c r="H38" s="29"/>
      <c r="I38" s="29"/>
      <c r="J38" s="30" t="str">
        <f t="shared" ref="J38:J57" si="6">IF(COUNTA(D38:E38)=0,"",AVERAGE(D38:E38))</f>
        <v/>
      </c>
      <c r="K38" s="30" t="str">
        <f t="shared" ref="K38:K57" si="7">IF(COUNTA(F38:G38)=0,"",AVERAGE(F38:G38))</f>
        <v/>
      </c>
      <c r="L38" s="30" t="str">
        <f t="shared" ref="L38:L57" si="8">IF(C38="","",C38-$C$6)</f>
        <v/>
      </c>
      <c r="M38" s="30" t="str">
        <f t="shared" ref="M38:M57" si="9">IF(H38="","",H38-$H$6)</f>
        <v/>
      </c>
      <c r="N38" s="30" t="str">
        <f t="shared" ref="N38:N57" si="10">IF(I38="","",I38-$I$6)</f>
        <v/>
      </c>
      <c r="O38" s="13"/>
    </row>
    <row r="39" spans="1:15" x14ac:dyDescent="0.2">
      <c r="A39" s="3">
        <v>34</v>
      </c>
      <c r="B39" s="2">
        <f t="shared" si="5"/>
        <v>46317</v>
      </c>
      <c r="C39" s="29"/>
      <c r="D39" s="29"/>
      <c r="E39" s="29"/>
      <c r="F39" s="29"/>
      <c r="G39" s="29"/>
      <c r="H39" s="29"/>
      <c r="I39" s="29"/>
      <c r="J39" s="30" t="str">
        <f t="shared" si="6"/>
        <v/>
      </c>
      <c r="K39" s="30" t="str">
        <f t="shared" si="7"/>
        <v/>
      </c>
      <c r="L39" s="30" t="str">
        <f t="shared" si="8"/>
        <v/>
      </c>
      <c r="M39" s="30" t="str">
        <f t="shared" si="9"/>
        <v/>
      </c>
      <c r="N39" s="30" t="str">
        <f t="shared" si="10"/>
        <v/>
      </c>
      <c r="O39" s="13"/>
    </row>
    <row r="40" spans="1:15" x14ac:dyDescent="0.2">
      <c r="A40" s="25">
        <v>35</v>
      </c>
      <c r="B40" s="26">
        <f t="shared" ref="B40:B57" si="11">B39+7</f>
        <v>46324</v>
      </c>
      <c r="C40" s="29"/>
      <c r="D40" s="29"/>
      <c r="E40" s="29"/>
      <c r="F40" s="29"/>
      <c r="G40" s="29"/>
      <c r="H40" s="29"/>
      <c r="I40" s="29"/>
      <c r="J40" s="30" t="str">
        <f t="shared" si="6"/>
        <v/>
      </c>
      <c r="K40" s="30" t="str">
        <f t="shared" si="7"/>
        <v/>
      </c>
      <c r="L40" s="30" t="str">
        <f t="shared" si="8"/>
        <v/>
      </c>
      <c r="M40" s="30" t="str">
        <f t="shared" si="9"/>
        <v/>
      </c>
      <c r="N40" s="30" t="str">
        <f t="shared" si="10"/>
        <v/>
      </c>
      <c r="O40" s="13"/>
    </row>
    <row r="41" spans="1:15" x14ac:dyDescent="0.2">
      <c r="A41" s="3">
        <v>36</v>
      </c>
      <c r="B41" s="2">
        <f t="shared" si="11"/>
        <v>46331</v>
      </c>
      <c r="C41" s="29"/>
      <c r="D41" s="29"/>
      <c r="E41" s="29"/>
      <c r="F41" s="29"/>
      <c r="G41" s="29"/>
      <c r="H41" s="29"/>
      <c r="I41" s="29"/>
      <c r="J41" s="30" t="str">
        <f t="shared" si="6"/>
        <v/>
      </c>
      <c r="K41" s="30" t="str">
        <f t="shared" si="7"/>
        <v/>
      </c>
      <c r="L41" s="30" t="str">
        <f t="shared" si="8"/>
        <v/>
      </c>
      <c r="M41" s="30" t="str">
        <f t="shared" si="9"/>
        <v/>
      </c>
      <c r="N41" s="30" t="str">
        <f t="shared" si="10"/>
        <v/>
      </c>
      <c r="O41" s="13"/>
    </row>
    <row r="42" spans="1:15" x14ac:dyDescent="0.2">
      <c r="A42" s="25">
        <v>37</v>
      </c>
      <c r="B42" s="26">
        <f t="shared" si="11"/>
        <v>46338</v>
      </c>
      <c r="C42" s="29"/>
      <c r="D42" s="29"/>
      <c r="E42" s="29"/>
      <c r="F42" s="29"/>
      <c r="G42" s="29"/>
      <c r="H42" s="29"/>
      <c r="I42" s="29"/>
      <c r="J42" s="30" t="str">
        <f t="shared" si="6"/>
        <v/>
      </c>
      <c r="K42" s="30" t="str">
        <f t="shared" si="7"/>
        <v/>
      </c>
      <c r="L42" s="30" t="str">
        <f t="shared" si="8"/>
        <v/>
      </c>
      <c r="M42" s="30" t="str">
        <f t="shared" si="9"/>
        <v/>
      </c>
      <c r="N42" s="30" t="str">
        <f t="shared" si="10"/>
        <v/>
      </c>
      <c r="O42" s="13"/>
    </row>
    <row r="43" spans="1:15" x14ac:dyDescent="0.2">
      <c r="A43" s="3">
        <v>38</v>
      </c>
      <c r="B43" s="2">
        <f t="shared" si="11"/>
        <v>46345</v>
      </c>
      <c r="C43" s="29"/>
      <c r="D43" s="29"/>
      <c r="E43" s="29"/>
      <c r="F43" s="29"/>
      <c r="G43" s="29"/>
      <c r="H43" s="29"/>
      <c r="I43" s="29"/>
      <c r="J43" s="30" t="str">
        <f t="shared" si="6"/>
        <v/>
      </c>
      <c r="K43" s="30" t="str">
        <f t="shared" si="7"/>
        <v/>
      </c>
      <c r="L43" s="30" t="str">
        <f t="shared" si="8"/>
        <v/>
      </c>
      <c r="M43" s="30" t="str">
        <f t="shared" si="9"/>
        <v/>
      </c>
      <c r="N43" s="30" t="str">
        <f t="shared" si="10"/>
        <v/>
      </c>
      <c r="O43" s="13"/>
    </row>
    <row r="44" spans="1:15" x14ac:dyDescent="0.2">
      <c r="A44" s="25">
        <v>39</v>
      </c>
      <c r="B44" s="26">
        <f t="shared" si="11"/>
        <v>46352</v>
      </c>
      <c r="C44" s="29"/>
      <c r="D44" s="29"/>
      <c r="E44" s="29"/>
      <c r="F44" s="29"/>
      <c r="G44" s="29"/>
      <c r="H44" s="29"/>
      <c r="I44" s="29"/>
      <c r="J44" s="30" t="str">
        <f t="shared" si="6"/>
        <v/>
      </c>
      <c r="K44" s="30" t="str">
        <f t="shared" si="7"/>
        <v/>
      </c>
      <c r="L44" s="30" t="str">
        <f t="shared" si="8"/>
        <v/>
      </c>
      <c r="M44" s="30" t="str">
        <f t="shared" si="9"/>
        <v/>
      </c>
      <c r="N44" s="30" t="str">
        <f t="shared" si="10"/>
        <v/>
      </c>
      <c r="O44" s="13"/>
    </row>
    <row r="45" spans="1:15" x14ac:dyDescent="0.2">
      <c r="A45" s="3">
        <v>40</v>
      </c>
      <c r="B45" s="2">
        <f t="shared" si="11"/>
        <v>46359</v>
      </c>
      <c r="C45" s="29"/>
      <c r="D45" s="29"/>
      <c r="E45" s="29"/>
      <c r="F45" s="29"/>
      <c r="G45" s="29"/>
      <c r="H45" s="29"/>
      <c r="I45" s="29"/>
      <c r="J45" s="30" t="str">
        <f t="shared" si="6"/>
        <v/>
      </c>
      <c r="K45" s="30" t="str">
        <f t="shared" si="7"/>
        <v/>
      </c>
      <c r="L45" s="30" t="str">
        <f t="shared" si="8"/>
        <v/>
      </c>
      <c r="M45" s="30" t="str">
        <f t="shared" si="9"/>
        <v/>
      </c>
      <c r="N45" s="30" t="str">
        <f t="shared" si="10"/>
        <v/>
      </c>
      <c r="O45" s="13"/>
    </row>
    <row r="46" spans="1:15" x14ac:dyDescent="0.2">
      <c r="A46" s="25">
        <v>41</v>
      </c>
      <c r="B46" s="26">
        <f t="shared" si="11"/>
        <v>46366</v>
      </c>
      <c r="C46" s="29"/>
      <c r="D46" s="29"/>
      <c r="E46" s="29"/>
      <c r="F46" s="29"/>
      <c r="G46" s="29"/>
      <c r="H46" s="29"/>
      <c r="I46" s="29"/>
      <c r="J46" s="30" t="str">
        <f t="shared" si="6"/>
        <v/>
      </c>
      <c r="K46" s="30" t="str">
        <f t="shared" si="7"/>
        <v/>
      </c>
      <c r="L46" s="30" t="str">
        <f t="shared" si="8"/>
        <v/>
      </c>
      <c r="M46" s="30" t="str">
        <f t="shared" si="9"/>
        <v/>
      </c>
      <c r="N46" s="30" t="str">
        <f t="shared" si="10"/>
        <v/>
      </c>
      <c r="O46" s="13"/>
    </row>
    <row r="47" spans="1:15" x14ac:dyDescent="0.2">
      <c r="A47" s="3">
        <v>42</v>
      </c>
      <c r="B47" s="2">
        <f t="shared" si="11"/>
        <v>46373</v>
      </c>
      <c r="C47" s="29"/>
      <c r="D47" s="29"/>
      <c r="E47" s="29"/>
      <c r="F47" s="29"/>
      <c r="G47" s="29"/>
      <c r="H47" s="29"/>
      <c r="I47" s="29"/>
      <c r="J47" s="30" t="str">
        <f t="shared" si="6"/>
        <v/>
      </c>
      <c r="K47" s="30" t="str">
        <f t="shared" si="7"/>
        <v/>
      </c>
      <c r="L47" s="30" t="str">
        <f t="shared" si="8"/>
        <v/>
      </c>
      <c r="M47" s="30" t="str">
        <f t="shared" si="9"/>
        <v/>
      </c>
      <c r="N47" s="30" t="str">
        <f t="shared" si="10"/>
        <v/>
      </c>
      <c r="O47" s="13"/>
    </row>
    <row r="48" spans="1:15" x14ac:dyDescent="0.2">
      <c r="A48" s="25">
        <v>43</v>
      </c>
      <c r="B48" s="26">
        <f t="shared" si="11"/>
        <v>46380</v>
      </c>
      <c r="C48" s="29"/>
      <c r="D48" s="29"/>
      <c r="E48" s="29"/>
      <c r="F48" s="29"/>
      <c r="G48" s="29"/>
      <c r="H48" s="29"/>
      <c r="I48" s="29"/>
      <c r="J48" s="30" t="str">
        <f t="shared" si="6"/>
        <v/>
      </c>
      <c r="K48" s="30" t="str">
        <f t="shared" si="7"/>
        <v/>
      </c>
      <c r="L48" s="30" t="str">
        <f t="shared" si="8"/>
        <v/>
      </c>
      <c r="M48" s="30" t="str">
        <f t="shared" si="9"/>
        <v/>
      </c>
      <c r="N48" s="30" t="str">
        <f t="shared" si="10"/>
        <v/>
      </c>
      <c r="O48" s="13"/>
    </row>
    <row r="49" spans="1:15" x14ac:dyDescent="0.2">
      <c r="A49" s="3">
        <v>44</v>
      </c>
      <c r="B49" s="2">
        <f t="shared" si="11"/>
        <v>46387</v>
      </c>
      <c r="C49" s="29"/>
      <c r="D49" s="29"/>
      <c r="E49" s="29"/>
      <c r="F49" s="29"/>
      <c r="G49" s="29"/>
      <c r="H49" s="29"/>
      <c r="I49" s="29"/>
      <c r="J49" s="30" t="str">
        <f t="shared" si="6"/>
        <v/>
      </c>
      <c r="K49" s="30" t="str">
        <f t="shared" si="7"/>
        <v/>
      </c>
      <c r="L49" s="30" t="str">
        <f t="shared" si="8"/>
        <v/>
      </c>
      <c r="M49" s="30" t="str">
        <f t="shared" si="9"/>
        <v/>
      </c>
      <c r="N49" s="30" t="str">
        <f t="shared" si="10"/>
        <v/>
      </c>
      <c r="O49" s="13"/>
    </row>
    <row r="50" spans="1:15" x14ac:dyDescent="0.2">
      <c r="A50" s="25">
        <v>45</v>
      </c>
      <c r="B50" s="26">
        <f t="shared" si="11"/>
        <v>46394</v>
      </c>
      <c r="C50" s="29"/>
      <c r="D50" s="29"/>
      <c r="E50" s="29"/>
      <c r="F50" s="29"/>
      <c r="G50" s="29"/>
      <c r="H50" s="29"/>
      <c r="I50" s="29"/>
      <c r="J50" s="30" t="str">
        <f t="shared" si="6"/>
        <v/>
      </c>
      <c r="K50" s="30" t="str">
        <f t="shared" si="7"/>
        <v/>
      </c>
      <c r="L50" s="30" t="str">
        <f t="shared" si="8"/>
        <v/>
      </c>
      <c r="M50" s="30" t="str">
        <f t="shared" si="9"/>
        <v/>
      </c>
      <c r="N50" s="30" t="str">
        <f t="shared" si="10"/>
        <v/>
      </c>
      <c r="O50" s="13"/>
    </row>
    <row r="51" spans="1:15" x14ac:dyDescent="0.2">
      <c r="A51" s="3">
        <v>46</v>
      </c>
      <c r="B51" s="2">
        <f t="shared" si="11"/>
        <v>46401</v>
      </c>
      <c r="C51" s="29"/>
      <c r="D51" s="29"/>
      <c r="E51" s="29"/>
      <c r="F51" s="29"/>
      <c r="G51" s="29"/>
      <c r="H51" s="29"/>
      <c r="I51" s="29"/>
      <c r="J51" s="30" t="str">
        <f t="shared" si="6"/>
        <v/>
      </c>
      <c r="K51" s="30" t="str">
        <f t="shared" si="7"/>
        <v/>
      </c>
      <c r="L51" s="30" t="str">
        <f t="shared" si="8"/>
        <v/>
      </c>
      <c r="M51" s="30" t="str">
        <f t="shared" si="9"/>
        <v/>
      </c>
      <c r="N51" s="30" t="str">
        <f t="shared" si="10"/>
        <v/>
      </c>
      <c r="O51" s="13"/>
    </row>
    <row r="52" spans="1:15" x14ac:dyDescent="0.2">
      <c r="A52" s="25">
        <v>47</v>
      </c>
      <c r="B52" s="26">
        <f t="shared" si="11"/>
        <v>46408</v>
      </c>
      <c r="C52" s="29"/>
      <c r="D52" s="29"/>
      <c r="E52" s="29"/>
      <c r="F52" s="29"/>
      <c r="G52" s="29"/>
      <c r="H52" s="29"/>
      <c r="I52" s="29"/>
      <c r="J52" s="30" t="str">
        <f t="shared" si="6"/>
        <v/>
      </c>
      <c r="K52" s="30" t="str">
        <f t="shared" si="7"/>
        <v/>
      </c>
      <c r="L52" s="30" t="str">
        <f t="shared" si="8"/>
        <v/>
      </c>
      <c r="M52" s="30" t="str">
        <f t="shared" si="9"/>
        <v/>
      </c>
      <c r="N52" s="30" t="str">
        <f t="shared" si="10"/>
        <v/>
      </c>
      <c r="O52" s="13"/>
    </row>
    <row r="53" spans="1:15" x14ac:dyDescent="0.2">
      <c r="A53" s="3">
        <v>48</v>
      </c>
      <c r="B53" s="2">
        <f t="shared" si="11"/>
        <v>46415</v>
      </c>
      <c r="C53" s="29"/>
      <c r="D53" s="29"/>
      <c r="E53" s="29"/>
      <c r="F53" s="29"/>
      <c r="G53" s="29"/>
      <c r="H53" s="29"/>
      <c r="I53" s="29"/>
      <c r="J53" s="30" t="str">
        <f t="shared" si="6"/>
        <v/>
      </c>
      <c r="K53" s="30" t="str">
        <f t="shared" si="7"/>
        <v/>
      </c>
      <c r="L53" s="30" t="str">
        <f t="shared" si="8"/>
        <v/>
      </c>
      <c r="M53" s="30" t="str">
        <f t="shared" si="9"/>
        <v/>
      </c>
      <c r="N53" s="30" t="str">
        <f t="shared" si="10"/>
        <v/>
      </c>
      <c r="O53" s="13"/>
    </row>
    <row r="54" spans="1:15" x14ac:dyDescent="0.2">
      <c r="A54" s="25">
        <v>49</v>
      </c>
      <c r="B54" s="26">
        <f t="shared" si="11"/>
        <v>46422</v>
      </c>
      <c r="C54" s="29"/>
      <c r="D54" s="29"/>
      <c r="E54" s="29"/>
      <c r="F54" s="29"/>
      <c r="G54" s="29"/>
      <c r="H54" s="29"/>
      <c r="I54" s="29"/>
      <c r="J54" s="30" t="str">
        <f t="shared" si="6"/>
        <v/>
      </c>
      <c r="K54" s="30" t="str">
        <f t="shared" si="7"/>
        <v/>
      </c>
      <c r="L54" s="30" t="str">
        <f t="shared" si="8"/>
        <v/>
      </c>
      <c r="M54" s="30" t="str">
        <f t="shared" si="9"/>
        <v/>
      </c>
      <c r="N54" s="30" t="str">
        <f t="shared" si="10"/>
        <v/>
      </c>
      <c r="O54" s="13"/>
    </row>
    <row r="55" spans="1:15" x14ac:dyDescent="0.2">
      <c r="A55" s="3">
        <v>50</v>
      </c>
      <c r="B55" s="2">
        <f t="shared" si="11"/>
        <v>46429</v>
      </c>
      <c r="C55" s="29"/>
      <c r="D55" s="29"/>
      <c r="E55" s="29"/>
      <c r="F55" s="29"/>
      <c r="G55" s="29"/>
      <c r="H55" s="29"/>
      <c r="I55" s="29"/>
      <c r="J55" s="30" t="str">
        <f t="shared" si="6"/>
        <v/>
      </c>
      <c r="K55" s="30" t="str">
        <f t="shared" si="7"/>
        <v/>
      </c>
      <c r="L55" s="30" t="str">
        <f t="shared" si="8"/>
        <v/>
      </c>
      <c r="M55" s="30" t="str">
        <f t="shared" si="9"/>
        <v/>
      </c>
      <c r="N55" s="30" t="str">
        <f t="shared" si="10"/>
        <v/>
      </c>
      <c r="O55" s="13"/>
    </row>
    <row r="56" spans="1:15" x14ac:dyDescent="0.2">
      <c r="A56" s="25">
        <v>51</v>
      </c>
      <c r="B56" s="26">
        <f t="shared" si="11"/>
        <v>46436</v>
      </c>
      <c r="C56" s="29"/>
      <c r="D56" s="29"/>
      <c r="E56" s="29"/>
      <c r="F56" s="29"/>
      <c r="G56" s="29"/>
      <c r="H56" s="29"/>
      <c r="I56" s="29"/>
      <c r="J56" s="30" t="str">
        <f t="shared" si="6"/>
        <v/>
      </c>
      <c r="K56" s="30" t="str">
        <f t="shared" si="7"/>
        <v/>
      </c>
      <c r="L56" s="30" t="str">
        <f t="shared" si="8"/>
        <v/>
      </c>
      <c r="M56" s="30" t="str">
        <f t="shared" si="9"/>
        <v/>
      </c>
      <c r="N56" s="30" t="str">
        <f t="shared" si="10"/>
        <v/>
      </c>
      <c r="O56" s="13"/>
    </row>
    <row r="57" spans="1:15" x14ac:dyDescent="0.2">
      <c r="A57" s="3">
        <v>52</v>
      </c>
      <c r="B57" s="2">
        <f t="shared" si="11"/>
        <v>46443</v>
      </c>
      <c r="C57" s="29"/>
      <c r="D57" s="29"/>
      <c r="E57" s="29"/>
      <c r="F57" s="29"/>
      <c r="G57" s="29"/>
      <c r="H57" s="29"/>
      <c r="I57" s="29"/>
      <c r="J57" s="30" t="str">
        <f t="shared" si="6"/>
        <v/>
      </c>
      <c r="K57" s="30" t="str">
        <f t="shared" si="7"/>
        <v/>
      </c>
      <c r="L57" s="30" t="str">
        <f t="shared" si="8"/>
        <v/>
      </c>
      <c r="M57" s="30" t="str">
        <f t="shared" si="9"/>
        <v/>
      </c>
      <c r="N57" s="30" t="str">
        <f t="shared" si="10"/>
        <v/>
      </c>
      <c r="O57" s="13"/>
    </row>
  </sheetData>
  <autoFilter ref="A5:O57" xr:uid="{00000000-0009-0000-0000-000005000000}"/>
  <mergeCells count="2">
    <mergeCell ref="A1:H2"/>
    <mergeCell ref="A3:H3"/>
  </mergeCells>
  <conditionalFormatting sqref="L6:L57">
    <cfRule type="colorScale" priority="1">
      <colorScale>
        <cfvo type="num" val="-60"/>
        <cfvo type="num" val="0"/>
        <cfvo type="num" val="20"/>
        <color rgb="FF82E0AA"/>
        <color rgb="FFFCF3CF"/>
        <color rgb="FFF1948A"/>
      </colorScale>
    </cfRule>
  </conditionalFormatting>
  <conditionalFormatting sqref="M6:M57">
    <cfRule type="colorScale" priority="2">
      <colorScale>
        <cfvo type="num" val="-20"/>
        <cfvo type="num" val="0"/>
        <cfvo type="num" val="10"/>
        <color rgb="FF82E0AA"/>
        <color rgb="FFFCF3CF"/>
        <color rgb="FFF1948A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Controls</vt:lpstr>
      <vt:lpstr>Milestones</vt:lpstr>
      <vt:lpstr>Daily Plan</vt:lpstr>
      <vt:lpstr>Weekly Summary</vt:lpstr>
      <vt:lpstr>Body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Brad Hubele</cp:lastModifiedBy>
  <dcterms:created xsi:type="dcterms:W3CDTF">2026-03-08T14:44:21Z</dcterms:created>
  <dcterms:modified xsi:type="dcterms:W3CDTF">2026-04-25T14:33:55Z</dcterms:modified>
</cp:coreProperties>
</file>